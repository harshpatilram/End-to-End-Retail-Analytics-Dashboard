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HP\Desktop\Excel Projects HK\"/>
    </mc:Choice>
  </mc:AlternateContent>
  <xr:revisionPtr revIDLastSave="0" documentId="13_ncr:1_{D257494C-982D-4C61-AEEF-E33C675DF8D9}" xr6:coauthVersionLast="47" xr6:coauthVersionMax="47" xr10:uidLastSave="{00000000-0000-0000-0000-000000000000}"/>
  <bookViews>
    <workbookView xWindow="-108" yWindow="-108" windowWidth="23256" windowHeight="12456" xr2:uid="{6AE672CD-C2F4-4A6B-BAB1-D3DD8ADCB76C}"/>
  </bookViews>
  <sheets>
    <sheet name="Finance Data" sheetId="1" r:id="rId1"/>
    <sheet name="KPI1" sheetId="2" r:id="rId2"/>
    <sheet name="KPI2" sheetId="3" r:id="rId3"/>
    <sheet name="KPI3" sheetId="4" r:id="rId4"/>
    <sheet name="KPI4" sheetId="5" r:id="rId5"/>
    <sheet name="KPI5" sheetId="6" r:id="rId6"/>
    <sheet name="KPI6" sheetId="7" r:id="rId7"/>
    <sheet name="KPI7" sheetId="8" r:id="rId8"/>
    <sheet name="KPI8" sheetId="9" r:id="rId9"/>
    <sheet name="Dashboard" sheetId="10" r:id="rId10"/>
  </sheets>
  <definedNames>
    <definedName name="NativeTimeline_Month">#N/A</definedName>
    <definedName name="Slicer_Department">#N/A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B4D27F-B954-47A8-A5B5-769A8CD55782}" keepAlive="1" name="Query - KPI1" description="Connection to the 'KPI1' query in the workbook." type="5" refreshedVersion="8" background="1">
    <dbPr connection="Provider=Microsoft.Mashup.OleDb.1;Data Source=$Workbook$;Location=KPI1;Extended Properties=&quot;&quot;" command="SELECT * FROM [KPI1]"/>
  </connection>
  <connection id="2" xr16:uid="{77018639-0636-4F27-A5D4-A1480D52FFC8}" keepAlive="1" name="Query - KPI2" description="Connection to the 'KPI2' query in the workbook." type="5" refreshedVersion="8" background="1">
    <dbPr connection="Provider=Microsoft.Mashup.OleDb.1;Data Source=$Workbook$;Location=KPI2;Extended Properties=&quot;&quot;" command="SELECT * FROM [KPI2]"/>
  </connection>
  <connection id="3" xr16:uid="{04ED2B16-05AA-42EE-8D05-4F99C5853A05}" keepAlive="1" name="Query - KPI3" description="Connection to the 'KPI3' query in the workbook." type="5" refreshedVersion="8" background="1">
    <dbPr connection="Provider=Microsoft.Mashup.OleDb.1;Data Source=$Workbook$;Location=KPI3;Extended Properties=&quot;&quot;" command="SELECT * FROM [KPI3]"/>
  </connection>
  <connection id="4" xr16:uid="{BABCA8BD-7D2D-444A-9D7B-D67C03424492}" keepAlive="1" name="Query - KPI4" description="Connection to the 'KPI4' query in the workbook." type="5" refreshedVersion="8" background="1">
    <dbPr connection="Provider=Microsoft.Mashup.OleDb.1;Data Source=$Workbook$;Location=KPI4;Extended Properties=&quot;&quot;" command="SELECT * FROM [KPI4]"/>
  </connection>
  <connection id="5" xr16:uid="{E941078F-3792-4D26-A49C-779FD42FBCD6}" keepAlive="1" name="Query - KPI5" description="Connection to the 'KPI5' query in the workbook." type="5" refreshedVersion="8" background="1">
    <dbPr connection="Provider=Microsoft.Mashup.OleDb.1;Data Source=$Workbook$;Location=KPI5;Extended Properties=&quot;&quot;" command="SELECT * FROM [KPI5]"/>
  </connection>
  <connection id="6" xr16:uid="{093AF3D4-BD2C-44A0-A34D-39B2A152600C}" keepAlive="1" name="Query - KPI6" description="Connection to the 'KPI6' query in the workbook." type="5" refreshedVersion="8" background="1">
    <dbPr connection="Provider=Microsoft.Mashup.OleDb.1;Data Source=$Workbook$;Location=KPI6;Extended Properties=&quot;&quot;" command="SELECT * FROM [KPI6]"/>
  </connection>
  <connection id="7" xr16:uid="{076A4E48-7AF9-45C7-A08A-96873600B5D6}" keepAlive="1" name="Query - KPI7" description="Connection to the 'KPI7' query in the workbook." type="5" refreshedVersion="8" background="1">
    <dbPr connection="Provider=Microsoft.Mashup.OleDb.1;Data Source=$Workbook$;Location=KPI7;Extended Properties=&quot;&quot;" command="SELECT * FROM [KPI7]"/>
  </connection>
  <connection id="8" xr16:uid="{DF7D26DB-D652-4418-84D1-2D45A52030A0}" keepAlive="1" name="Query - KPI8" description="Connection to the 'KPI8' query in the workbook." type="5" refreshedVersion="8" background="1">
    <dbPr connection="Provider=Microsoft.Mashup.OleDb.1;Data Source=$Workbook$;Location=KPI8;Extended Properties=&quot;&quot;" command="SELECT * FROM [KPI8]"/>
  </connection>
</connections>
</file>

<file path=xl/sharedStrings.xml><?xml version="1.0" encoding="utf-8"?>
<sst xmlns="http://schemas.openxmlformats.org/spreadsheetml/2006/main" count="132" uniqueCount="23">
  <si>
    <t>Month</t>
  </si>
  <si>
    <t>Department</t>
  </si>
  <si>
    <t>ROI</t>
  </si>
  <si>
    <t>Sales</t>
  </si>
  <si>
    <t>HR</t>
  </si>
  <si>
    <t>Marketing</t>
  </si>
  <si>
    <t>Logistics</t>
  </si>
  <si>
    <t>Operations</t>
  </si>
  <si>
    <t>Revenue</t>
  </si>
  <si>
    <t>Expense</t>
  </si>
  <si>
    <t>Marketing Spend</t>
  </si>
  <si>
    <t>Tax</t>
  </si>
  <si>
    <t>Profit</t>
  </si>
  <si>
    <t>Row Labels</t>
  </si>
  <si>
    <t>Sum of Revenue</t>
  </si>
  <si>
    <t>Grand Total</t>
  </si>
  <si>
    <t>Sum of Profit</t>
  </si>
  <si>
    <t>Sum of ROI</t>
  </si>
  <si>
    <t>Sum of Expense</t>
  </si>
  <si>
    <t>Sum of Marketing Spend</t>
  </si>
  <si>
    <t>Sum of Tax</t>
  </si>
  <si>
    <t>Average of Revenue</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</si>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</sst>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22" formatCode="mmm\-yy"/>
    </dxf>
  </dxfs>
  <tableStyles count="0" defaultTableStyle="TableStyleMedium2" defaultPivotStyle="PivotStyleLight16"/>
  <colors>
    <mruColors>
      <color rgb="FF49FB19"/>
      <color rgb="FF8FF24C"/>
      <color rgb="FFB2E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Data.xlsx]KPI1!PivotTable2</c:name>
    <c:fmtId val="0"/>
  </c:pivotSource>
  <c:chart>
    <c:title>
      <c:tx>
        <c:rich>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r>
              <a:rPr lang="en-IN" cap="none" baseline="0"/>
              <a:t>Sum of Revenue by Department</a:t>
            </a:r>
          </a:p>
        </c:rich>
      </c:tx>
      <c:overlay val="0"/>
      <c:spPr>
        <a:noFill/>
        <a:ln>
          <a:noFill/>
        </a:ln>
        <a:effectLst/>
      </c:spPr>
      <c:txPr>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'KPI1'!$A$2:$A$7</c:f>
              <c:strCache>
                <c:ptCount val="5"/>
                <c:pt idx="0">
                  <c:v>HR</c:v>
                </c:pt>
                <c:pt idx="1">
                  <c:v>Logistics</c:v>
                </c:pt>
                <c:pt idx="2">
                  <c:v>Marketing</c:v>
                </c:pt>
                <c:pt idx="3">
                  <c:v>Operations</c:v>
                </c:pt>
                <c:pt idx="4">
                  <c:v>Sales</c:v>
                </c:pt>
              </c:strCache>
            </c:strRef>
          </c:cat>
          <c:val>
            <c:numRef>
              <c:f>'KPI1'!$B$2:$B$7</c:f>
              <c:numCache>
                <c:formatCode>General</c:formatCode>
                <c:ptCount val="5"/>
                <c:pt idx="0">
                  <c:v>485799</c:v>
                </c:pt>
                <c:pt idx="1">
                  <c:v>525797</c:v>
                </c:pt>
                <c:pt idx="2">
                  <c:v>600035</c:v>
                </c:pt>
                <c:pt idx="3">
                  <c:v>721996</c:v>
                </c:pt>
                <c:pt idx="4">
                  <c:v>2455264</c:v>
                </c:pt>
              </c:numCache>
            </c:numRef>
          </c:val>
          <c:extLst>
            <c:ext xmlns:c16="http://schemas.microsoft.com/office/drawing/2014/chart" uri="{C3380CC4-5D6E-409C-BE32-E72D297353CC}">
              <c16:uniqueId val="{00000000-6A09-4D9A-A4B4-3CA6A0B62295}"/>
            </c:ext>
          </c:extLst>
        </c:ser>
        <c:dLbls>
          <c:showLegendKey val="0"/>
          <c:showVal val="1"/>
          <c:showCatName val="0"/>
          <c:showSerName val="0"/>
          <c:showPercent val="0"/>
          <c:showBubbleSize val="0"/>
        </c:dLbls>
        <c:gapWidth val="84"/>
        <c:gapDepth val="53"/>
        <c:shape val="box"/>
        <c:axId val="218186176"/>
        <c:axId val="218186656"/>
        <c:axId val="0"/>
      </c:bar3DChart>
      <c:catAx>
        <c:axId val="21818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8186656"/>
        <c:crosses val="autoZero"/>
        <c:auto val="1"/>
        <c:lblAlgn val="ctr"/>
        <c:lblOffset val="100"/>
        <c:noMultiLvlLbl val="0"/>
      </c:catAx>
      <c:valAx>
        <c:axId val="218186656"/>
        <c:scaling>
          <c:orientation val="minMax"/>
        </c:scaling>
        <c:delete val="1"/>
        <c:axPos val="l"/>
        <c:numFmt formatCode="General" sourceLinked="1"/>
        <c:majorTickMark val="out"/>
        <c:minorTickMark val="none"/>
        <c:tickLblPos val="nextTo"/>
        <c:crossAx val="21818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Profit</a:t>
            </a:r>
            <a:r>
              <a:rPr lang="en-US" baseline="0"/>
              <a: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0C4-4927-9719-DC2360A52C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0C4-4927-9719-DC2360A52C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0C4-4927-9719-DC2360A52C7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0C4-4927-9719-DC2360A52C7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0C4-4927-9719-DC2360A52C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'KPI2'!$A$2:$A$7</c:f>
              <c:strCache>
                <c:ptCount val="5"/>
                <c:pt idx="0">
                  <c:v>HR</c:v>
                </c:pt>
                <c:pt idx="1">
                  <c:v>Logistics</c:v>
                </c:pt>
                <c:pt idx="2">
                  <c:v>Marketing</c:v>
                </c:pt>
                <c:pt idx="3">
                  <c:v>Operations</c:v>
                </c:pt>
                <c:pt idx="4">
                  <c:v>Sales</c:v>
                </c:pt>
              </c:strCache>
            </c:strRef>
          </c:cat>
          <c:val>
            <c:numRef>
              <c:f>'KPI2'!$B$2:$B$7</c:f>
              <c:numCache>
                <c:formatCode>General</c:formatCode>
                <c:ptCount val="5"/>
                <c:pt idx="0">
                  <c:v>109550</c:v>
                </c:pt>
                <c:pt idx="1">
                  <c:v>135521</c:v>
                </c:pt>
                <c:pt idx="2">
                  <c:v>185305</c:v>
                </c:pt>
                <c:pt idx="3">
                  <c:v>187360</c:v>
                </c:pt>
                <c:pt idx="4">
                  <c:v>703916</c:v>
                </c:pt>
              </c:numCache>
            </c:numRef>
          </c:val>
          <c:extLst>
            <c:ext xmlns:c16="http://schemas.microsoft.com/office/drawing/2014/chart" uri="{C3380CC4-5D6E-409C-BE32-E72D297353CC}">
              <c16:uniqueId val="{00000000-3110-4465-BA12-228651CACF0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Data.xlsx]KPI3!PivotTable4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ROI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'KPI3'!$B$1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'KPI3'!$A$2:$A$7</c:f>
              <c:strCache>
                <c:ptCount val="5"/>
                <c:pt idx="0">
                  <c:v>HR</c:v>
                </c:pt>
                <c:pt idx="1">
                  <c:v>Logistics</c:v>
                </c:pt>
                <c:pt idx="2">
                  <c:v>Marketing</c:v>
                </c:pt>
                <c:pt idx="3">
                  <c:v>Operations</c:v>
                </c:pt>
                <c:pt idx="4">
                  <c:v>Sales</c:v>
                </c:pt>
              </c:strCache>
            </c:strRef>
          </c:cat>
          <c:val>
            <c:numRef>
              <c:f>'KPI3'!$B$2:$B$7</c:f>
              <c:numCache>
                <c:formatCode>General</c:formatCode>
                <c:ptCount val="5"/>
                <c:pt idx="0">
                  <c:v>5.81</c:v>
                </c:pt>
                <c:pt idx="1">
                  <c:v>7.08</c:v>
                </c:pt>
                <c:pt idx="2">
                  <c:v>7.37</c:v>
                </c:pt>
                <c:pt idx="3">
                  <c:v>6.13</c:v>
                </c:pt>
                <c:pt idx="4">
                  <c:v>7.67</c:v>
                </c:pt>
              </c:numCache>
            </c:numRef>
          </c:val>
          <c:extLst>
            <c:ext xmlns:c16="http://schemas.microsoft.com/office/drawing/2014/chart" uri="{C3380CC4-5D6E-409C-BE32-E72D297353CC}">
              <c16:uniqueId val="{00000000-1F93-4E3E-AF8B-153FADADE0CE}"/>
            </c:ext>
          </c:extLst>
        </c:ser>
        <c:dLbls>
          <c:showLegendKey val="0"/>
          <c:showVal val="1"/>
          <c:showCatName val="0"/>
          <c:showSerName val="0"/>
          <c:showPercent val="0"/>
          <c:showBubbleSize val="0"/>
        </c:dLbls>
        <c:gapWidth val="150"/>
        <c:shape val="box"/>
        <c:axId val="80387343"/>
        <c:axId val="80387823"/>
        <c:axId val="0"/>
      </c:bar3DChart>
      <c:catAx>
        <c:axId val="8038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823"/>
        <c:crosses val="autoZero"/>
        <c:auto val="1"/>
        <c:lblAlgn val="ctr"/>
        <c:lblOffset val="100"/>
        <c:noMultiLvlLbl val="0"/>
      </c:catAx>
      <c:valAx>
        <c:axId val="8038782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Data.xlsx]KPI4!PivotTable5</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Expenses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'KPI4'!$B$1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25-4B80-A8AD-44ADE33520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25-4B80-A8AD-44ADE33520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25-4B80-A8AD-44ADE33520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25-4B80-A8AD-44ADE33520F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25-4B80-A8AD-44ADE33520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'KPI4'!$A$2:$A$7</c:f>
              <c:strCache>
                <c:ptCount val="5"/>
                <c:pt idx="0">
                  <c:v>HR</c:v>
                </c:pt>
                <c:pt idx="1">
                  <c:v>Logistics</c:v>
                </c:pt>
                <c:pt idx="2">
                  <c:v>Marketing</c:v>
                </c:pt>
                <c:pt idx="3">
                  <c:v>Operations</c:v>
                </c:pt>
                <c:pt idx="4">
                  <c:v>Sales</c:v>
                </c:pt>
              </c:strCache>
            </c:strRef>
          </c:cat>
          <c:val>
            <c:numRef>
              <c:f>'KPI4'!$B$2:$B$7</c:f>
              <c:numCache>
                <c:formatCode>General</c:formatCode>
                <c:ptCount val="5"/>
                <c:pt idx="0">
                  <c:v>339481</c:v>
                </c:pt>
                <c:pt idx="1">
                  <c:v>354272</c:v>
                </c:pt>
                <c:pt idx="2">
                  <c:v>371956</c:v>
                </c:pt>
                <c:pt idx="3">
                  <c:v>489210</c:v>
                </c:pt>
                <c:pt idx="4">
                  <c:v>1570041</c:v>
                </c:pt>
              </c:numCache>
            </c:numRef>
          </c:val>
          <c:extLst>
            <c:ext xmlns:c16="http://schemas.microsoft.com/office/drawing/2014/chart" uri="{C3380CC4-5D6E-409C-BE32-E72D297353CC}">
              <c16:uniqueId val="{00000000-A05B-4B87-A153-47648DCB9F2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Data.xlsx]KPI5!PivotTable6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Marketing Spend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'KPI5'!$A$2:$A$7</c:f>
              <c:strCache>
                <c:ptCount val="5"/>
                <c:pt idx="0">
                  <c:v>HR</c:v>
                </c:pt>
                <c:pt idx="1">
                  <c:v>Logistics</c:v>
                </c:pt>
                <c:pt idx="2">
                  <c:v>Marketing</c:v>
                </c:pt>
                <c:pt idx="3">
                  <c:v>Operations</c:v>
                </c:pt>
                <c:pt idx="4">
                  <c:v>Sales</c:v>
                </c:pt>
              </c:strCache>
            </c:strRef>
          </c:cat>
          <c:val>
            <c:numRef>
              <c:f>'KPI5'!$B$2:$B$7</c:f>
              <c:numCache>
                <c:formatCode>General</c:formatCode>
                <c:ptCount val="5"/>
                <c:pt idx="0">
                  <c:v>12838</c:v>
                </c:pt>
                <c:pt idx="1">
                  <c:v>17090</c:v>
                </c:pt>
                <c:pt idx="2">
                  <c:v>123519</c:v>
                </c:pt>
                <c:pt idx="3">
                  <c:v>26880</c:v>
                </c:pt>
                <c:pt idx="4">
                  <c:v>372040</c:v>
                </c:pt>
              </c:numCache>
            </c:numRef>
          </c:val>
          <c:extLst>
            <c:ext xmlns:c16="http://schemas.microsoft.com/office/drawing/2014/chart" uri="{C3380CC4-5D6E-409C-BE32-E72D297353CC}">
              <c16:uniqueId val="{00000000-F1E3-4DAC-8768-63ED099B778F}"/>
            </c:ext>
          </c:extLst>
        </c:ser>
        <c:dLbls>
          <c:dLblPos val="outEnd"/>
          <c:showLegendKey val="0"/>
          <c:showVal val="1"/>
          <c:showCatName val="0"/>
          <c:showSerName val="0"/>
          <c:showPercent val="0"/>
          <c:showBubbleSize val="0"/>
        </c:dLbls>
        <c:gapWidth val="115"/>
        <c:overlap val="-20"/>
        <c:axId val="2108398288"/>
        <c:axId val="2108398768"/>
      </c:barChart>
      <c:catAx>
        <c:axId val="21083982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398768"/>
        <c:crosses val="autoZero"/>
        <c:auto val="1"/>
        <c:lblAlgn val="ctr"/>
        <c:lblOffset val="100"/>
        <c:noMultiLvlLbl val="0"/>
      </c:catAx>
      <c:valAx>
        <c:axId val="2108398768"/>
        <c:scaling>
          <c:orientation val="minMax"/>
        </c:scaling>
        <c:delete val="1"/>
        <c:axPos val="b"/>
        <c:numFmt formatCode="General" sourceLinked="1"/>
        <c:majorTickMark val="none"/>
        <c:minorTickMark val="none"/>
        <c:tickLblPos val="nextTo"/>
        <c:crossAx val="210839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 Data.xlsx]KPI6!PivotTable7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Tax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'KPI6'!$B$1</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'KPI6'!$A$2:$A$7</c:f>
              <c:strCache>
                <c:ptCount val="5"/>
                <c:pt idx="0">
                  <c:v>HR</c:v>
                </c:pt>
                <c:pt idx="1">
                  <c:v>Logistics</c:v>
                </c:pt>
                <c:pt idx="2">
                  <c:v>Marketing</c:v>
                </c:pt>
                <c:pt idx="3">
                  <c:v>Operations</c:v>
                </c:pt>
                <c:pt idx="4">
                  <c:v>Sales</c:v>
                </c:pt>
              </c:strCache>
            </c:strRef>
          </c:cat>
          <c:val>
            <c:numRef>
              <c:f>'KPI6'!$B$2:$B$7</c:f>
              <c:numCache>
                <c:formatCode>General</c:formatCode>
                <c:ptCount val="5"/>
                <c:pt idx="0">
                  <c:v>36768</c:v>
                </c:pt>
                <c:pt idx="1">
                  <c:v>36004</c:v>
                </c:pt>
                <c:pt idx="2">
                  <c:v>42774</c:v>
                </c:pt>
                <c:pt idx="3">
                  <c:v>45426</c:v>
                </c:pt>
                <c:pt idx="4">
                  <c:v>181307</c:v>
                </c:pt>
              </c:numCache>
            </c:numRef>
          </c:val>
          <c:smooth val="0"/>
          <c:extLst>
            <c:ext xmlns:c16="http://schemas.microsoft.com/office/drawing/2014/chart" uri="{C3380CC4-5D6E-409C-BE32-E72D297353CC}">
              <c16:uniqueId val="{00000000-DFEB-4EE4-9ADB-8A2BAF60FC01}"/>
            </c:ext>
          </c:extLst>
        </c:ser>
        <c:dLbls>
          <c:dLblPos val="t"/>
          <c:showLegendKey val="0"/>
          <c:showVal val="1"/>
          <c:showCatName val="0"/>
          <c:showSerName val="0"/>
          <c:showPercent val="0"/>
          <c:showBubbleSize val="0"/>
        </c:dLbls>
        <c:marker val="1"/>
        <c:smooth val="0"/>
        <c:axId val="823875632"/>
        <c:axId val="823876112"/>
      </c:lineChart>
      <c:catAx>
        <c:axId val="8238756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876112"/>
        <c:crosses val="autoZero"/>
        <c:auto val="1"/>
        <c:lblAlgn val="ctr"/>
        <c:lblOffset val="100"/>
        <c:noMultiLvlLbl val="0"/>
      </c:catAx>
      <c:valAx>
        <c:axId val="8238761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87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Data.xlsx]KPI7!PivotTable8</c:name>
    <c:fmtId val="1"/>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Average of Revenue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'KPI7'!$B$1</c:f>
              <c:strCache>
                <c:ptCount val="1"/>
                <c:pt idx="0">
                  <c:v>Total</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'KPI7'!$A$2:$A$7</c:f>
              <c:strCache>
                <c:ptCount val="5"/>
                <c:pt idx="0">
                  <c:v>HR</c:v>
                </c:pt>
                <c:pt idx="1">
                  <c:v>Logistics</c:v>
                </c:pt>
                <c:pt idx="2">
                  <c:v>Marketing</c:v>
                </c:pt>
                <c:pt idx="3">
                  <c:v>Operations</c:v>
                </c:pt>
                <c:pt idx="4">
                  <c:v>Sales</c:v>
                </c:pt>
              </c:strCache>
            </c:strRef>
          </c:cat>
          <c:val>
            <c:numRef>
              <c:f>'KPI7'!$B$2:$B$7</c:f>
              <c:numCache>
                <c:formatCode>General</c:formatCode>
                <c:ptCount val="5"/>
                <c:pt idx="0">
                  <c:v>40483.25</c:v>
                </c:pt>
                <c:pt idx="1">
                  <c:v>43816.416666666664</c:v>
                </c:pt>
                <c:pt idx="2">
                  <c:v>50002.916666666664</c:v>
                </c:pt>
                <c:pt idx="3">
                  <c:v>60166.333333333336</c:v>
                </c:pt>
                <c:pt idx="4">
                  <c:v>204605.33333333334</c:v>
                </c:pt>
              </c:numCache>
            </c:numRef>
          </c:val>
          <c:extLst>
            <c:ext xmlns:c16="http://schemas.microsoft.com/office/drawing/2014/chart" uri="{C3380CC4-5D6E-409C-BE32-E72D297353CC}">
              <c16:uniqueId val="{00000000-3861-452B-A7DE-E19007BAFC9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6261247"/>
        <c:axId val="86260287"/>
      </c:areaChart>
      <c:catAx>
        <c:axId val="862612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6260287"/>
        <c:crosses val="autoZero"/>
        <c:auto val="1"/>
        <c:lblAlgn val="ctr"/>
        <c:lblOffset val="100"/>
        <c:noMultiLvlLbl val="0"/>
      </c:catAx>
      <c:valAx>
        <c:axId val="862602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2612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 Data.xlsx]KPI8!PivotTable9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Average of Profit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'KPI8'!$B$1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'KPI8'!$A$2:$A$7</c:f>
              <c:strCache>
                <c:ptCount val="5"/>
                <c:pt idx="0">
                  <c:v>HR</c:v>
                </c:pt>
                <c:pt idx="1">
                  <c:v>Logistics</c:v>
                </c:pt>
                <c:pt idx="2">
                  <c:v>Marketing</c:v>
                </c:pt>
                <c:pt idx="3">
                  <c:v>Operations</c:v>
                </c:pt>
                <c:pt idx="4">
                  <c:v>Sales</c:v>
                </c:pt>
              </c:strCache>
            </c:strRef>
          </c:cat>
          <c:val>
            <c:numRef>
              <c:f>'KPI8'!$B$2:$B$7</c:f>
              <c:numCache>
                <c:formatCode>General</c:formatCode>
                <c:ptCount val="5"/>
                <c:pt idx="0">
                  <c:v>9129.1666666666661</c:v>
                </c:pt>
                <c:pt idx="1">
                  <c:v>11293.416666666666</c:v>
                </c:pt>
                <c:pt idx="2">
                  <c:v>15442.083333333334</c:v>
                </c:pt>
                <c:pt idx="3">
                  <c:v>15613.333333333334</c:v>
                </c:pt>
                <c:pt idx="4">
                  <c:v>58659.666666666664</c:v>
                </c:pt>
              </c:numCache>
            </c:numRef>
          </c:val>
          <c:extLst>
            <c:ext xmlns:c16="http://schemas.microsoft.com/office/drawing/2014/chart" uri="{C3380CC4-5D6E-409C-BE32-E72D297353CC}">
              <c16:uniqueId val="{00000000-BF7C-4EE2-80F2-1B9D81AC8515}"/>
            </c:ext>
          </c:extLst>
        </c:ser>
        <c:dLbls>
          <c:showLegendKey val="0"/>
          <c:showVal val="0"/>
          <c:showCatName val="0"/>
          <c:showSerName val="0"/>
          <c:showPercent val="0"/>
          <c:showBubbleSize val="0"/>
        </c:dLbls>
        <c:gapWidth val="150"/>
        <c:shape val="box"/>
        <c:axId val="131074879"/>
        <c:axId val="131075839"/>
        <c:axId val="0"/>
      </c:bar3DChart>
      <c:catAx>
        <c:axId val="13107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075839"/>
        <c:crosses val="autoZero"/>
        <c:auto val="1"/>
        <c:lblAlgn val="ctr"/>
        <c:lblOffset val="100"/>
        <c:noMultiLvlLbl val="0"/>
      </c:catAx>
      <c:valAx>
        <c:axId val="1310758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07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Data.xlsx]KPI1!PivotTable2</c:name>
    <c:fmtId val="14"/>
  </c:pivotSource>
  <c:chart>
    <c:title>
      <c:tx>
        <c:rich>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r>
              <a:rPr lang="en-IN" cap="none" baseline="0"/>
              <a:t>Sum of Revenue by Department</a:t>
            </a:r>
          </a:p>
        </c:rich>
      </c:tx>
      <c:overlay val="0"/>
      <c:spPr>
        <a:noFill/>
        <a:ln>
          <a:noFill/>
        </a:ln>
        <a:effectLst/>
      </c:spPr>
      <c:txPr>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'KPI1'!$A$2:$A$7</c:f>
              <c:strCache>
                <c:ptCount val="5"/>
                <c:pt idx="0">
                  <c:v>HR</c:v>
                </c:pt>
                <c:pt idx="1">
                  <c:v>Logistics</c:v>
                </c:pt>
                <c:pt idx="2">
                  <c:v>Marketing</c:v>
                </c:pt>
                <c:pt idx="3">
                  <c:v>Operations</c:v>
                </c:pt>
                <c:pt idx="4">
                  <c:v>Sales</c:v>
                </c:pt>
              </c:strCache>
            </c:strRef>
          </c:cat>
          <c:val>
            <c:numRef>
              <c:f>'KPI1'!$B$2:$B$7</c:f>
              <c:numCache>
                <c:formatCode>General</c:formatCode>
                <c:ptCount val="5"/>
                <c:pt idx="0">
                  <c:v>485799</c:v>
                </c:pt>
                <c:pt idx="1">
                  <c:v>525797</c:v>
                </c:pt>
                <c:pt idx="2">
                  <c:v>600035</c:v>
                </c:pt>
                <c:pt idx="3">
                  <c:v>721996</c:v>
                </c:pt>
                <c:pt idx="4">
                  <c:v>2455264</c:v>
                </c:pt>
              </c:numCache>
            </c:numRef>
          </c:val>
          <c:extLst>
            <c:ext xmlns:c16="http://schemas.microsoft.com/office/drawing/2014/chart" uri="{C3380CC4-5D6E-409C-BE32-E72D297353CC}">
              <c16:uniqueId val="{00000000-C294-44F4-AB40-2C1FC3D83959}"/>
            </c:ext>
          </c:extLst>
        </c:ser>
        <c:dLbls>
          <c:showLegendKey val="0"/>
          <c:showVal val="1"/>
          <c:showCatName val="0"/>
          <c:showSerName val="0"/>
          <c:showPercent val="0"/>
          <c:showBubbleSize val="0"/>
        </c:dLbls>
        <c:gapWidth val="84"/>
        <c:gapDepth val="53"/>
        <c:shape val="box"/>
        <c:axId val="218186176"/>
        <c:axId val="218186656"/>
        <c:axId val="0"/>
      </c:bar3DChart>
      <c:catAx>
        <c:axId val="21818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8186656"/>
        <c:crosses val="autoZero"/>
        <c:auto val="1"/>
        <c:lblAlgn val="ctr"/>
        <c:lblOffset val="100"/>
        <c:noMultiLvlLbl val="0"/>
      </c:catAx>
      <c:valAx>
        <c:axId val="218186656"/>
        <c:scaling>
          <c:orientation val="minMax"/>
        </c:scaling>
        <c:delete val="1"/>
        <c:axPos val="l"/>
        <c:numFmt formatCode="General" sourceLinked="1"/>
        <c:majorTickMark val="out"/>
        <c:minorTickMark val="none"/>
        <c:tickLblPos val="nextTo"/>
        <c:crossAx val="21818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Data.xlsx]KPI2!PivotTable3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Profit</a:t>
            </a:r>
            <a:r>
              <a:rPr lang="en-US" baseline="0"/>
              <a: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09C-4B1B-93BA-1E8BCD3603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09C-4B1B-93BA-1E8BCD3603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09C-4B1B-93BA-1E8BCD3603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09C-4B1B-93BA-1E8BCD3603F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09C-4B1B-93BA-1E8BCD3603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'KPI2'!$A$2:$A$7</c:f>
              <c:strCache>
                <c:ptCount val="5"/>
                <c:pt idx="0">
                  <c:v>HR</c:v>
                </c:pt>
                <c:pt idx="1">
                  <c:v>Logistics</c:v>
                </c:pt>
                <c:pt idx="2">
                  <c:v>Marketing</c:v>
                </c:pt>
                <c:pt idx="3">
                  <c:v>Operations</c:v>
                </c:pt>
                <c:pt idx="4">
                  <c:v>Sales</c:v>
                </c:pt>
              </c:strCache>
            </c:strRef>
          </c:cat>
          <c:val>
            <c:numRef>
              <c:f>'KPI2'!$B$2:$B$7</c:f>
              <c:numCache>
                <c:formatCode>General</c:formatCode>
                <c:ptCount val="5"/>
                <c:pt idx="0">
                  <c:v>109550</c:v>
                </c:pt>
                <c:pt idx="1">
                  <c:v>135521</c:v>
                </c:pt>
                <c:pt idx="2">
                  <c:v>185305</c:v>
                </c:pt>
                <c:pt idx="3">
                  <c:v>187360</c:v>
                </c:pt>
                <c:pt idx="4">
                  <c:v>703916</c:v>
                </c:pt>
              </c:numCache>
            </c:numRef>
          </c:val>
          <c:extLst>
            <c:ext xmlns:c16="http://schemas.microsoft.com/office/drawing/2014/chart" uri="{C3380CC4-5D6E-409C-BE32-E72D297353CC}">
              <c16:uniqueId val="{0000000A-609C-4B1B-93BA-1E8BCD3603F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Data.xlsx]KPI3!PivotTable4</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ROI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'KPI3'!$B$1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'KPI3'!$A$2:$A$7</c:f>
              <c:strCache>
                <c:ptCount val="5"/>
                <c:pt idx="0">
                  <c:v>HR</c:v>
                </c:pt>
                <c:pt idx="1">
                  <c:v>Logistics</c:v>
                </c:pt>
                <c:pt idx="2">
                  <c:v>Marketing</c:v>
                </c:pt>
                <c:pt idx="3">
                  <c:v>Operations</c:v>
                </c:pt>
                <c:pt idx="4">
                  <c:v>Sales</c:v>
                </c:pt>
              </c:strCache>
            </c:strRef>
          </c:cat>
          <c:val>
            <c:numRef>
              <c:f>'KPI3'!$B$2:$B$7</c:f>
              <c:numCache>
                <c:formatCode>General</c:formatCode>
                <c:ptCount val="5"/>
                <c:pt idx="0">
                  <c:v>5.81</c:v>
                </c:pt>
                <c:pt idx="1">
                  <c:v>7.08</c:v>
                </c:pt>
                <c:pt idx="2">
                  <c:v>7.37</c:v>
                </c:pt>
                <c:pt idx="3">
                  <c:v>6.13</c:v>
                </c:pt>
                <c:pt idx="4">
                  <c:v>7.67</c:v>
                </c:pt>
              </c:numCache>
            </c:numRef>
          </c:val>
          <c:extLst>
            <c:ext xmlns:c16="http://schemas.microsoft.com/office/drawing/2014/chart" uri="{C3380CC4-5D6E-409C-BE32-E72D297353CC}">
              <c16:uniqueId val="{00000000-B2B2-46BC-A953-A13C6B609D17}"/>
            </c:ext>
          </c:extLst>
        </c:ser>
        <c:dLbls>
          <c:showLegendKey val="0"/>
          <c:showVal val="1"/>
          <c:showCatName val="0"/>
          <c:showSerName val="0"/>
          <c:showPercent val="0"/>
          <c:showBubbleSize val="0"/>
        </c:dLbls>
        <c:gapWidth val="150"/>
        <c:shape val="box"/>
        <c:axId val="80387343"/>
        <c:axId val="80387823"/>
        <c:axId val="0"/>
      </c:bar3DChart>
      <c:catAx>
        <c:axId val="8038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823"/>
        <c:crosses val="autoZero"/>
        <c:auto val="1"/>
        <c:lblAlgn val="ctr"/>
        <c:lblOffset val="100"/>
        <c:noMultiLvlLbl val="0"/>
      </c:catAx>
      <c:valAx>
        <c:axId val="8038782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[Finance Data.xlsx]KPI5!PivotTable6</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Marketing Spend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'KPI5'!$A$2:$A$7</c:f>
              <c:strCache>
                <c:ptCount val="5"/>
                <c:pt idx="0">
                  <c:v>HR</c:v>
                </c:pt>
                <c:pt idx="1">
                  <c:v>Logistics</c:v>
                </c:pt>
                <c:pt idx="2">
                  <c:v>Marketing</c:v>
                </c:pt>
                <c:pt idx="3">
                  <c:v>Operations</c:v>
                </c:pt>
                <c:pt idx="4">
                  <c:v>Sales</c:v>
                </c:pt>
              </c:strCache>
            </c:strRef>
          </c:cat>
          <c:val>
            <c:numRef>
              <c:f>'KPI5'!$B$2:$B$7</c:f>
              <c:numCache>
                <c:formatCode>General</c:formatCode>
                <c:ptCount val="5"/>
                <c:pt idx="0">
                  <c:v>12838</c:v>
                </c:pt>
                <c:pt idx="1">
                  <c:v>17090</c:v>
                </c:pt>
                <c:pt idx="2">
                  <c:v>123519</c:v>
                </c:pt>
                <c:pt idx="3">
                  <c:v>26880</c:v>
                </c:pt>
                <c:pt idx="4">
                  <c:v>372040</c:v>
                </c:pt>
              </c:numCache>
            </c:numRef>
          </c:val>
          <c:extLst>
            <c:ext xmlns:c16="http://schemas.microsoft.com/office/drawing/2014/chart" uri="{C3380CC4-5D6E-409C-BE32-E72D297353CC}">
              <c16:uniqueId val="{00000000-EF80-4397-813A-559D27069930}"/>
            </c:ext>
          </c:extLst>
        </c:ser>
        <c:dLbls>
          <c:dLblPos val="outEnd"/>
          <c:showLegendKey val="0"/>
          <c:showVal val="1"/>
          <c:showCatName val="0"/>
          <c:showSerName val="0"/>
          <c:showPercent val="0"/>
          <c:showBubbleSize val="0"/>
        </c:dLbls>
        <c:gapWidth val="115"/>
        <c:overlap val="-20"/>
        <c:axId val="2108398288"/>
        <c:axId val="2108398768"/>
      </c:barChart>
      <c:catAx>
        <c:axId val="21083982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398768"/>
        <c:crosses val="autoZero"/>
        <c:auto val="1"/>
        <c:lblAlgn val="ctr"/>
        <c:lblOffset val="100"/>
        <c:noMultiLvlLbl val="0"/>
      </c:catAx>
      <c:valAx>
        <c:axId val="2108398768"/>
        <c:scaling>
          <c:orientation val="minMax"/>
        </c:scaling>
        <c:delete val="1"/>
        <c:axPos val="b"/>
        <c:numFmt formatCode="General" sourceLinked="1"/>
        <c:majorTickMark val="none"/>
        <c:minorTickMark val="none"/>
        <c:tickLblPos val="nextTo"/>
        <c:crossAx val="210839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[Finance Data.xlsx]KPI6!PivotTable7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Tax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'KPI6'!$B$1</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'KPI6'!$A$2:$A$7</c:f>
              <c:strCache>
                <c:ptCount val="5"/>
                <c:pt idx="0">
                  <c:v>HR</c:v>
                </c:pt>
                <c:pt idx="1">
                  <c:v>Logistics</c:v>
                </c:pt>
                <c:pt idx="2">
                  <c:v>Marketing</c:v>
                </c:pt>
                <c:pt idx="3">
                  <c:v>Operations</c:v>
                </c:pt>
                <c:pt idx="4">
                  <c:v>Sales</c:v>
                </c:pt>
              </c:strCache>
            </c:strRef>
          </c:cat>
          <c:val>
            <c:numRef>
              <c:f>'KPI6'!$B$2:$B$7</c:f>
              <c:numCache>
                <c:formatCode>General</c:formatCode>
                <c:ptCount val="5"/>
                <c:pt idx="0">
                  <c:v>36768</c:v>
                </c:pt>
                <c:pt idx="1">
                  <c:v>36004</c:v>
                </c:pt>
                <c:pt idx="2">
                  <c:v>42774</c:v>
                </c:pt>
                <c:pt idx="3">
                  <c:v>45426</c:v>
                </c:pt>
                <c:pt idx="4">
                  <c:v>181307</c:v>
                </c:pt>
              </c:numCache>
            </c:numRef>
          </c:val>
          <c:smooth val="0"/>
          <c:extLst>
            <c:ext xmlns:c16="http://schemas.microsoft.com/office/drawing/2014/chart" uri="{C3380CC4-5D6E-409C-BE32-E72D297353CC}">
              <c16:uniqueId val="{00000000-59A1-4BBB-B1DD-891BF54B16FA}"/>
            </c:ext>
          </c:extLst>
        </c:ser>
        <c:dLbls>
          <c:dLblPos val="t"/>
          <c:showLegendKey val="0"/>
          <c:showVal val="1"/>
          <c:showCatName val="0"/>
          <c:showSerName val="0"/>
          <c:showPercent val="0"/>
          <c:showBubbleSize val="0"/>
        </c:dLbls>
        <c:marker val="1"/>
        <c:smooth val="0"/>
        <c:axId val="823875632"/>
        <c:axId val="823876112"/>
      </c:lineChart>
      <c:catAx>
        <c:axId val="8238756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876112"/>
        <c:crosses val="autoZero"/>
        <c:auto val="1"/>
        <c:lblAlgn val="ctr"/>
        <c:lblOffset val="100"/>
        <c:noMultiLvlLbl val="0"/>
      </c:catAx>
      <c:valAx>
        <c:axId val="8238761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87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Data.xlsx]KPI4!PivotTable5</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Expenses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'KPI4'!$B$1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84-43BE-85C5-874D6B93CE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84-43BE-85C5-874D6B93CE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84-43BE-85C5-874D6B93CE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784-43BE-85C5-874D6B93CEC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784-43BE-85C5-874D6B93CE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'KPI4'!$A$2:$A$7</c:f>
              <c:strCache>
                <c:ptCount val="5"/>
                <c:pt idx="0">
                  <c:v>HR</c:v>
                </c:pt>
                <c:pt idx="1">
                  <c:v>Logistics</c:v>
                </c:pt>
                <c:pt idx="2">
                  <c:v>Marketing</c:v>
                </c:pt>
                <c:pt idx="3">
                  <c:v>Operations</c:v>
                </c:pt>
                <c:pt idx="4">
                  <c:v>Sales</c:v>
                </c:pt>
              </c:strCache>
            </c:strRef>
          </c:cat>
          <c:val>
            <c:numRef>
              <c:f>'KPI4'!$B$2:$B$7</c:f>
              <c:numCache>
                <c:formatCode>General</c:formatCode>
                <c:ptCount val="5"/>
                <c:pt idx="0">
                  <c:v>339481</c:v>
                </c:pt>
                <c:pt idx="1">
                  <c:v>354272</c:v>
                </c:pt>
                <c:pt idx="2">
                  <c:v>371956</c:v>
                </c:pt>
                <c:pt idx="3">
                  <c:v>489210</c:v>
                </c:pt>
                <c:pt idx="4">
                  <c:v>1570041</c:v>
                </c:pt>
              </c:numCache>
            </c:numRef>
          </c:val>
          <c:extLst>
            <c:ext xmlns:c16="http://schemas.microsoft.com/office/drawing/2014/chart" uri="{C3380CC4-5D6E-409C-BE32-E72D297353CC}">
              <c16:uniqueId val="{0000000A-8784-43BE-85C5-874D6B93CE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Data.xlsx]KPI7!PivotTable8</c:name>
    <c:fmtId val="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Average of Revenue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'KPI7'!$B$1</c:f>
              <c:strCache>
                <c:ptCount val="1"/>
                <c:pt idx="0">
                  <c:v>Total</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'KPI7'!$A$2:$A$7</c:f>
              <c:strCache>
                <c:ptCount val="5"/>
                <c:pt idx="0">
                  <c:v>HR</c:v>
                </c:pt>
                <c:pt idx="1">
                  <c:v>Logistics</c:v>
                </c:pt>
                <c:pt idx="2">
                  <c:v>Marketing</c:v>
                </c:pt>
                <c:pt idx="3">
                  <c:v>Operations</c:v>
                </c:pt>
                <c:pt idx="4">
                  <c:v>Sales</c:v>
                </c:pt>
              </c:strCache>
            </c:strRef>
          </c:cat>
          <c:val>
            <c:numRef>
              <c:f>'KPI7'!$B$2:$B$7</c:f>
              <c:numCache>
                <c:formatCode>General</c:formatCode>
                <c:ptCount val="5"/>
                <c:pt idx="0">
                  <c:v>40483.25</c:v>
                </c:pt>
                <c:pt idx="1">
                  <c:v>43816.416666666664</c:v>
                </c:pt>
                <c:pt idx="2">
                  <c:v>50002.916666666664</c:v>
                </c:pt>
                <c:pt idx="3">
                  <c:v>60166.333333333336</c:v>
                </c:pt>
                <c:pt idx="4">
                  <c:v>204605.33333333334</c:v>
                </c:pt>
              </c:numCache>
            </c:numRef>
          </c:val>
          <c:extLst>
            <c:ext xmlns:c16="http://schemas.microsoft.com/office/drawing/2014/chart" uri="{C3380CC4-5D6E-409C-BE32-E72D297353CC}">
              <c16:uniqueId val="{00000000-7674-4700-B305-5F550A163C5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6261247"/>
        <c:axId val="86260287"/>
      </c:areaChart>
      <c:catAx>
        <c:axId val="862612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6260287"/>
        <c:crosses val="autoZero"/>
        <c:auto val="1"/>
        <c:lblAlgn val="ctr"/>
        <c:lblOffset val="100"/>
        <c:noMultiLvlLbl val="0"/>
      </c:catAx>
      <c:valAx>
        <c:axId val="862602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2612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 Data.xlsx]KPI8!PivotTable9</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Average of Profit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'KPI8'!$B$1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'KPI8'!$A$2:$A$7</c:f>
              <c:strCache>
                <c:ptCount val="5"/>
                <c:pt idx="0">
                  <c:v>HR</c:v>
                </c:pt>
                <c:pt idx="1">
                  <c:v>Logistics</c:v>
                </c:pt>
                <c:pt idx="2">
                  <c:v>Marketing</c:v>
                </c:pt>
                <c:pt idx="3">
                  <c:v>Operations</c:v>
                </c:pt>
                <c:pt idx="4">
                  <c:v>Sales</c:v>
                </c:pt>
              </c:strCache>
            </c:strRef>
          </c:cat>
          <c:val>
            <c:numRef>
              <c:f>'KPI8'!$B$2:$B$7</c:f>
              <c:numCache>
                <c:formatCode>General</c:formatCode>
                <c:ptCount val="5"/>
                <c:pt idx="0">
                  <c:v>9129.1666666666661</c:v>
                </c:pt>
                <c:pt idx="1">
                  <c:v>11293.416666666666</c:v>
                </c:pt>
                <c:pt idx="2">
                  <c:v>15442.083333333334</c:v>
                </c:pt>
                <c:pt idx="3">
                  <c:v>15613.333333333334</c:v>
                </c:pt>
                <c:pt idx="4">
                  <c:v>58659.666666666664</c:v>
                </c:pt>
              </c:numCache>
            </c:numRef>
          </c:val>
          <c:extLst>
            <c:ext xmlns:c16="http://schemas.microsoft.com/office/drawing/2014/chart" uri="{C3380CC4-5D6E-409C-BE32-E72D297353CC}">
              <c16:uniqueId val="{00000000-0EDD-46EC-8683-79D1B48C96AA}"/>
            </c:ext>
          </c:extLst>
        </c:ser>
        <c:dLbls>
          <c:showLegendKey val="0"/>
          <c:showVal val="0"/>
          <c:showCatName val="0"/>
          <c:showSerName val="0"/>
          <c:showPercent val="0"/>
          <c:showBubbleSize val="0"/>
        </c:dLbls>
        <c:gapWidth val="150"/>
        <c:shape val="box"/>
        <c:axId val="131074879"/>
        <c:axId val="131075839"/>
        <c:axId val="0"/>
      </c:bar3DChart>
      <c:catAx>
        <c:axId val="13107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075839"/>
        <c:crosses val="autoZero"/>
        <c:auto val="1"/>
        <c:lblAlgn val="ctr"/>
        <c:lblOffset val="100"/>
        <c:noMultiLvlLbl val="0"/>
      </c:catAx>
      <c:valAx>
        <c:axId val="1310758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07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4.jpeg"/><Relationship Id="rId18" Type="http://schemas.openxmlformats.org/officeDocument/2006/relationships/hyperlink" Target="#'KPI5'!A1"/><Relationship Id="rId3" Type="http://schemas.openxmlformats.org/officeDocument/2006/relationships/image" Target="../media/image3.jpeg"/><Relationship Id="rId21" Type="http://schemas.openxmlformats.org/officeDocument/2006/relationships/hyperlink" Target="#'KPI8'!A1"/><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hyperlink" Target="#'KPI4'!A1"/><Relationship Id="rId2" Type="http://schemas.openxmlformats.org/officeDocument/2006/relationships/image" Target="../media/image2.jpeg"/><Relationship Id="rId16" Type="http://schemas.openxmlformats.org/officeDocument/2006/relationships/hyperlink" Target="#'KPI3'!A1"/><Relationship Id="rId20" Type="http://schemas.openxmlformats.org/officeDocument/2006/relationships/hyperlink" Target="#'KPI7'!A1"/><Relationship Id="rId1" Type="http://schemas.openxmlformats.org/officeDocument/2006/relationships/image" Target="../media/image1.jpe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hyperlink" Target="#'KPI2'!A1"/><Relationship Id="rId10" Type="http://schemas.openxmlformats.org/officeDocument/2006/relationships/chart" Target="../charts/chart14.xml"/><Relationship Id="rId19" Type="http://schemas.openxmlformats.org/officeDocument/2006/relationships/hyperlink" Target="#'KPI6'!A1"/><Relationship Id="rId4" Type="http://schemas.openxmlformats.org/officeDocument/2006/relationships/hyperlink" Target="#'Finance Data'!A1"/><Relationship Id="rId9" Type="http://schemas.openxmlformats.org/officeDocument/2006/relationships/chart" Target="../charts/chart13.xml"/><Relationship Id="rId14" Type="http://schemas.openxmlformats.org/officeDocument/2006/relationships/hyperlink" Target="#'KPI1'!A1"/></Relationships>
</file>

<file path=xl/drawings/drawing1.xml><?xml version="1.0" encoding="utf-8"?>
<xdr:wsDr xmlns:xdr="http://schemas.openxmlformats.org/drawingml/2006/spreadsheetDrawing" xmlns:a="http://schemas.openxmlformats.org/drawingml/2006/main">
  <xdr:twoCellAnchor>
    <xdr:from>
      <xdr:col>8</xdr:col>
      <xdr:colOff>228600</xdr:colOff>
      <xdr:row>1</xdr:row>
      <xdr:rowOff>106680</xdr:rowOff>
    </xdr:from>
    <xdr:to>
      <xdr:col>11</xdr:col>
      <xdr:colOff>426720</xdr:colOff>
      <xdr:row>9</xdr:row>
      <xdr:rowOff>175260</xdr:rowOff>
    </xdr:to>
    <xdr:sp macro="" textlink="">
      <xdr:nvSpPr>
        <xdr:cNvPr id="3" name="Thought Bubble: Cloud 2">
          <a:hlinkClick xmlns:r="http://schemas.openxmlformats.org/officeDocument/2006/relationships" r:id="rId1"/>
          <a:extLst>
            <a:ext uri="{FF2B5EF4-FFF2-40B4-BE49-F238E27FC236}">
              <a16:creationId xmlns:a16="http://schemas.microsoft.com/office/drawing/2014/main" id="{931B0A56-FB35-F657-8CE4-685295B98F88}"/>
            </a:ext>
          </a:extLst>
        </xdr:cNvPr>
        <xdr:cNvSpPr/>
      </xdr:nvSpPr>
      <xdr:spPr>
        <a:xfrm>
          <a:off x="6720840" y="28956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8</xdr:row>
      <xdr:rowOff>11430</xdr:rowOff>
    </xdr:from>
    <xdr:to>
      <xdr:col>6</xdr:col>
      <xdr:colOff>502920</xdr:colOff>
      <xdr:row>23</xdr:row>
      <xdr:rowOff>11430</xdr:rowOff>
    </xdr:to>
    <xdr:graphicFrame macro="">
      <xdr:nvGraphicFramePr>
        <xdr:cNvPr id="2" name="Chart 1">
          <a:extLst>
            <a:ext uri="{FF2B5EF4-FFF2-40B4-BE49-F238E27FC236}">
              <a16:creationId xmlns:a16="http://schemas.microsoft.com/office/drawing/2014/main" id="{0D691916-05C0-6B9B-7088-A298F0BAF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541020</xdr:colOff>
      <xdr:row>0</xdr:row>
      <xdr:rowOff>144780</xdr:rowOff>
    </xdr:from>
    <xdr:to>
      <xdr:col>10</xdr:col>
      <xdr:colOff>129540</xdr:colOff>
      <xdr:row>9</xdr:row>
      <xdr:rowOff>30480</xdr:rowOff>
    </xdr:to>
    <xdr:sp macro="" textlink="">
      <xdr:nvSpPr>
        <xdr:cNvPr id="3" name="Thought Bubble: Cloud 2">
          <a:hlinkClick xmlns:r="http://schemas.openxmlformats.org/officeDocument/2006/relationships" r:id="rId2"/>
          <a:extLst>
            <a:ext uri="{FF2B5EF4-FFF2-40B4-BE49-F238E27FC236}">
              <a16:creationId xmlns:a16="http://schemas.microsoft.com/office/drawing/2014/main" id="{E025C831-98F9-43C7-B1ED-A3ED48A3C312}"/>
            </a:ext>
          </a:extLst>
        </xdr:cNvPr>
        <xdr:cNvSpPr/>
      </xdr:nvSpPr>
      <xdr:spPr>
        <a:xfrm>
          <a:off x="4800600" y="14478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487680</xdr:colOff>
      <xdr:row>0</xdr:row>
      <xdr:rowOff>38100</xdr:rowOff>
    </xdr:from>
    <xdr:to>
      <xdr:col>10</xdr:col>
      <xdr:colOff>76200</xdr:colOff>
      <xdr:row>8</xdr:row>
      <xdr:rowOff>106680</xdr:rowOff>
    </xdr:to>
    <xdr:sp macro="" textlink="">
      <xdr:nvSpPr>
        <xdr:cNvPr id="2" name="Thought Bubble: Cloud 1">
          <a:hlinkClick xmlns:r="http://schemas.openxmlformats.org/officeDocument/2006/relationships" r:id="rId1"/>
          <a:extLst>
            <a:ext uri="{FF2B5EF4-FFF2-40B4-BE49-F238E27FC236}">
              <a16:creationId xmlns:a16="http://schemas.microsoft.com/office/drawing/2014/main" id="{4CA44ACF-90B8-449D-8A3E-543248E6C846}"/>
            </a:ext>
          </a:extLst>
        </xdr:cNvPr>
        <xdr:cNvSpPr/>
      </xdr:nvSpPr>
      <xdr:spPr>
        <a:xfrm>
          <a:off x="4572000" y="3810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twoCellAnchor>
    <xdr:from>
      <xdr:col>0</xdr:col>
      <xdr:colOff>327660</xdr:colOff>
      <xdr:row>8</xdr:row>
      <xdr:rowOff>34290</xdr:rowOff>
    </xdr:from>
    <xdr:to>
      <xdr:col>7</xdr:col>
      <xdr:colOff>205740</xdr:colOff>
      <xdr:row>23</xdr:row>
      <xdr:rowOff>34290</xdr:rowOff>
    </xdr:to>
    <xdr:graphicFrame macro="">
      <xdr:nvGraphicFramePr>
        <xdr:cNvPr id="3" name="Chart 2">
          <a:extLst>
            <a:ext uri="{FF2B5EF4-FFF2-40B4-BE49-F238E27FC236}">
              <a16:creationId xmlns:a16="http://schemas.microsoft.com/office/drawing/2014/main" id="{F63B9814-0754-D515-FA80-91F35EBA5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586740</xdr:colOff>
      <xdr:row>0</xdr:row>
      <xdr:rowOff>76200</xdr:rowOff>
    </xdr:from>
    <xdr:to>
      <xdr:col>10</xdr:col>
      <xdr:colOff>175260</xdr:colOff>
      <xdr:row>8</xdr:row>
      <xdr:rowOff>144780</xdr:rowOff>
    </xdr:to>
    <xdr:sp macro="" textlink="">
      <xdr:nvSpPr>
        <xdr:cNvPr id="2" name="Thought Bubble: Cloud 1">
          <a:hlinkClick xmlns:r="http://schemas.openxmlformats.org/officeDocument/2006/relationships" r:id="rId1"/>
          <a:extLst>
            <a:ext uri="{FF2B5EF4-FFF2-40B4-BE49-F238E27FC236}">
              <a16:creationId xmlns:a16="http://schemas.microsoft.com/office/drawing/2014/main" id="{128D1AA9-CE93-40BD-BE04-8CA85A8C67EC}"/>
            </a:ext>
          </a:extLst>
        </xdr:cNvPr>
        <xdr:cNvSpPr/>
      </xdr:nvSpPr>
      <xdr:spPr>
        <a:xfrm>
          <a:off x="4564380" y="7620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twoCellAnchor>
    <xdr:from>
      <xdr:col>0</xdr:col>
      <xdr:colOff>289560</xdr:colOff>
      <xdr:row>8</xdr:row>
      <xdr:rowOff>87630</xdr:rowOff>
    </xdr:from>
    <xdr:to>
      <xdr:col>7</xdr:col>
      <xdr:colOff>274320</xdr:colOff>
      <xdr:row>23</xdr:row>
      <xdr:rowOff>87630</xdr:rowOff>
    </xdr:to>
    <xdr:graphicFrame macro="">
      <xdr:nvGraphicFramePr>
        <xdr:cNvPr id="3" name="Chart 2">
          <a:extLst>
            <a:ext uri="{FF2B5EF4-FFF2-40B4-BE49-F238E27FC236}">
              <a16:creationId xmlns:a16="http://schemas.microsoft.com/office/drawing/2014/main" id="{1097F1E0-D139-9E8F-7D94-884E77D1E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419100</xdr:colOff>
      <xdr:row>0</xdr:row>
      <xdr:rowOff>0</xdr:rowOff>
    </xdr:from>
    <xdr:to>
      <xdr:col>9</xdr:col>
      <xdr:colOff>7620</xdr:colOff>
      <xdr:row>8</xdr:row>
      <xdr:rowOff>68580</xdr:rowOff>
    </xdr:to>
    <xdr:sp macro="" textlink="">
      <xdr:nvSpPr>
        <xdr:cNvPr id="3" name="Thought Bubble: Cloud 2">
          <a:hlinkClick xmlns:r="http://schemas.openxmlformats.org/officeDocument/2006/relationships" r:id="rId1"/>
          <a:extLst>
            <a:ext uri="{FF2B5EF4-FFF2-40B4-BE49-F238E27FC236}">
              <a16:creationId xmlns:a16="http://schemas.microsoft.com/office/drawing/2014/main" id="{6A82D05F-3CD8-48B6-BCEF-2ED1F556E5EA}"/>
            </a:ext>
          </a:extLst>
        </xdr:cNvPr>
        <xdr:cNvSpPr/>
      </xdr:nvSpPr>
      <xdr:spPr>
        <a:xfrm>
          <a:off x="4960620" y="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twoCellAnchor>
    <xdr:from>
      <xdr:col>0</xdr:col>
      <xdr:colOff>556260</xdr:colOff>
      <xdr:row>8</xdr:row>
      <xdr:rowOff>41910</xdr:rowOff>
    </xdr:from>
    <xdr:to>
      <xdr:col>5</xdr:col>
      <xdr:colOff>586740</xdr:colOff>
      <xdr:row>23</xdr:row>
      <xdr:rowOff>41910</xdr:rowOff>
    </xdr:to>
    <xdr:graphicFrame macro="">
      <xdr:nvGraphicFramePr>
        <xdr:cNvPr id="4" name="Chart 3">
          <a:extLst>
            <a:ext uri="{FF2B5EF4-FFF2-40B4-BE49-F238E27FC236}">
              <a16:creationId xmlns:a16="http://schemas.microsoft.com/office/drawing/2014/main" id="{CB097B33-AEF4-D490-CC4C-C05A7C215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198120</xdr:colOff>
      <xdr:row>0</xdr:row>
      <xdr:rowOff>53340</xdr:rowOff>
    </xdr:from>
    <xdr:to>
      <xdr:col>9</xdr:col>
      <xdr:colOff>396240</xdr:colOff>
      <xdr:row>8</xdr:row>
      <xdr:rowOff>121920</xdr:rowOff>
    </xdr:to>
    <xdr:sp macro="" textlink="">
      <xdr:nvSpPr>
        <xdr:cNvPr id="2" name="Thought Bubble: Cloud 1">
          <a:hlinkClick xmlns:r="http://schemas.openxmlformats.org/officeDocument/2006/relationships" r:id="rId1"/>
          <a:extLst>
            <a:ext uri="{FF2B5EF4-FFF2-40B4-BE49-F238E27FC236}">
              <a16:creationId xmlns:a16="http://schemas.microsoft.com/office/drawing/2014/main" id="{74B6E67B-6853-4910-B9B8-CD79ADEA1090}"/>
            </a:ext>
          </a:extLst>
        </xdr:cNvPr>
        <xdr:cNvSpPr/>
      </xdr:nvSpPr>
      <xdr:spPr>
        <a:xfrm>
          <a:off x="4937760" y="5334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twoCellAnchor>
    <xdr:from>
      <xdr:col>0</xdr:col>
      <xdr:colOff>480060</xdr:colOff>
      <xdr:row>7</xdr:row>
      <xdr:rowOff>125730</xdr:rowOff>
    </xdr:from>
    <xdr:to>
      <xdr:col>6</xdr:col>
      <xdr:colOff>312420</xdr:colOff>
      <xdr:row>22</xdr:row>
      <xdr:rowOff>125730</xdr:rowOff>
    </xdr:to>
    <xdr:graphicFrame macro="">
      <xdr:nvGraphicFramePr>
        <xdr:cNvPr id="3" name="Chart 2">
          <a:extLst>
            <a:ext uri="{FF2B5EF4-FFF2-40B4-BE49-F238E27FC236}">
              <a16:creationId xmlns:a16="http://schemas.microsoft.com/office/drawing/2014/main" id="{62C44C24-A486-7A0C-820F-91D80370A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266700</xdr:colOff>
      <xdr:row>1</xdr:row>
      <xdr:rowOff>45720</xdr:rowOff>
    </xdr:from>
    <xdr:to>
      <xdr:col>10</xdr:col>
      <xdr:colOff>464820</xdr:colOff>
      <xdr:row>9</xdr:row>
      <xdr:rowOff>114300</xdr:rowOff>
    </xdr:to>
    <xdr:sp macro="" textlink="">
      <xdr:nvSpPr>
        <xdr:cNvPr id="2" name="Thought Bubble: Cloud 1">
          <a:hlinkClick xmlns:r="http://schemas.openxmlformats.org/officeDocument/2006/relationships" r:id="rId1"/>
          <a:extLst>
            <a:ext uri="{FF2B5EF4-FFF2-40B4-BE49-F238E27FC236}">
              <a16:creationId xmlns:a16="http://schemas.microsoft.com/office/drawing/2014/main" id="{E35E50C8-8288-478B-978B-F935BC331891}"/>
            </a:ext>
          </a:extLst>
        </xdr:cNvPr>
        <xdr:cNvSpPr/>
      </xdr:nvSpPr>
      <xdr:spPr>
        <a:xfrm>
          <a:off x="4838700" y="22860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twoCellAnchor>
    <xdr:from>
      <xdr:col>0</xdr:col>
      <xdr:colOff>266700</xdr:colOff>
      <xdr:row>8</xdr:row>
      <xdr:rowOff>41910</xdr:rowOff>
    </xdr:from>
    <xdr:to>
      <xdr:col>7</xdr:col>
      <xdr:colOff>266700</xdr:colOff>
      <xdr:row>23</xdr:row>
      <xdr:rowOff>41910</xdr:rowOff>
    </xdr:to>
    <xdr:graphicFrame macro="">
      <xdr:nvGraphicFramePr>
        <xdr:cNvPr id="3" name="Chart 2">
          <a:extLst>
            <a:ext uri="{FF2B5EF4-FFF2-40B4-BE49-F238E27FC236}">
              <a16:creationId xmlns:a16="http://schemas.microsoft.com/office/drawing/2014/main" id="{40E82574-71F7-B633-05A1-37387720F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175260</xdr:colOff>
      <xdr:row>0</xdr:row>
      <xdr:rowOff>15240</xdr:rowOff>
    </xdr:from>
    <xdr:to>
      <xdr:col>8</xdr:col>
      <xdr:colOff>373380</xdr:colOff>
      <xdr:row>8</xdr:row>
      <xdr:rowOff>83820</xdr:rowOff>
    </xdr:to>
    <xdr:sp macro="" textlink="">
      <xdr:nvSpPr>
        <xdr:cNvPr id="3" name="Thought Bubble: Cloud 2">
          <a:hlinkClick xmlns:r="http://schemas.openxmlformats.org/officeDocument/2006/relationships" r:id="rId1"/>
          <a:extLst>
            <a:ext uri="{FF2B5EF4-FFF2-40B4-BE49-F238E27FC236}">
              <a16:creationId xmlns:a16="http://schemas.microsoft.com/office/drawing/2014/main" id="{590E0B49-9590-4D6F-8CCC-FC005D29CE5E}"/>
            </a:ext>
          </a:extLst>
        </xdr:cNvPr>
        <xdr:cNvSpPr/>
      </xdr:nvSpPr>
      <xdr:spPr>
        <a:xfrm>
          <a:off x="4564380" y="1524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twoCellAnchor>
    <xdr:from>
      <xdr:col>0</xdr:col>
      <xdr:colOff>182880</xdr:colOff>
      <xdr:row>7</xdr:row>
      <xdr:rowOff>148590</xdr:rowOff>
    </xdr:from>
    <xdr:to>
      <xdr:col>5</xdr:col>
      <xdr:colOff>365760</xdr:colOff>
      <xdr:row>22</xdr:row>
      <xdr:rowOff>148590</xdr:rowOff>
    </xdr:to>
    <xdr:graphicFrame macro="">
      <xdr:nvGraphicFramePr>
        <xdr:cNvPr id="4" name="Chart 3">
          <a:extLst>
            <a:ext uri="{FF2B5EF4-FFF2-40B4-BE49-F238E27FC236}">
              <a16:creationId xmlns:a16="http://schemas.microsoft.com/office/drawing/2014/main" id="{8160408D-E757-DFFB-CFC3-00DDA10AC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487680</xdr:colOff>
      <xdr:row>0</xdr:row>
      <xdr:rowOff>0</xdr:rowOff>
    </xdr:from>
    <xdr:to>
      <xdr:col>10</xdr:col>
      <xdr:colOff>76200</xdr:colOff>
      <xdr:row>8</xdr:row>
      <xdr:rowOff>68580</xdr:rowOff>
    </xdr:to>
    <xdr:sp macro="" textlink="">
      <xdr:nvSpPr>
        <xdr:cNvPr id="2" name="Thought Bubble: Cloud 1">
          <a:hlinkClick xmlns:r="http://schemas.openxmlformats.org/officeDocument/2006/relationships" r:id="rId1"/>
          <a:extLst>
            <a:ext uri="{FF2B5EF4-FFF2-40B4-BE49-F238E27FC236}">
              <a16:creationId xmlns:a16="http://schemas.microsoft.com/office/drawing/2014/main" id="{0CFE5F46-06D6-44B6-9E18-1EC5087FCC42}"/>
            </a:ext>
          </a:extLst>
        </xdr:cNvPr>
        <xdr:cNvSpPr/>
      </xdr:nvSpPr>
      <xdr:spPr>
        <a:xfrm>
          <a:off x="4770120" y="0"/>
          <a:ext cx="2026920" cy="1531620"/>
        </a:xfrm>
        <a:prstGeom prst="cloudCallou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Dashboard</a:t>
          </a:r>
        </a:p>
      </xdr:txBody>
    </xdr:sp>
    <xdr:clientData/>
  </xdr:twoCellAnchor>
  <xdr:twoCellAnchor>
    <xdr:from>
      <xdr:col>0</xdr:col>
      <xdr:colOff>266700</xdr:colOff>
      <xdr:row>6</xdr:row>
      <xdr:rowOff>156210</xdr:rowOff>
    </xdr:from>
    <xdr:to>
      <xdr:col>6</xdr:col>
      <xdr:colOff>556260</xdr:colOff>
      <xdr:row>21</xdr:row>
      <xdr:rowOff>156210</xdr:rowOff>
    </xdr:to>
    <xdr:graphicFrame macro="">
      <xdr:nvGraphicFramePr>
        <xdr:cNvPr id="3" name="Chart 2">
          <a:extLst>
            <a:ext uri="{FF2B5EF4-FFF2-40B4-BE49-F238E27FC236}">
              <a16:creationId xmlns:a16="http://schemas.microsoft.com/office/drawing/2014/main" id="{0C3F6A24-06E2-BE3B-9B07-1A1406B55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580571</xdr:colOff>
      <xdr:row>35</xdr:row>
      <xdr:rowOff>179049</xdr:rowOff>
    </xdr:to>
    <xdr:sp macro="" textlink="">
      <xdr:nvSpPr>
        <xdr:cNvPr id="4" name="Rectangle 3">
          <a:extLst>
            <a:ext uri="{FF2B5EF4-FFF2-40B4-BE49-F238E27FC236}">
              <a16:creationId xmlns:a16="http://schemas.microsoft.com/office/drawing/2014/main" id="{B7E0A3AE-0A2D-2EE0-1AC3-713716332B7A}"/>
            </a:ext>
          </a:extLst>
        </xdr:cNvPr>
        <xdr:cNvSpPr/>
      </xdr:nvSpPr>
      <xdr:spPr>
        <a:xfrm>
          <a:off x="0" y="0"/>
          <a:ext cx="15699619" cy="6529049"/>
        </a:xfrm>
        <a:prstGeom prst="rect">
          <a:avLst/>
        </a:prstGeom>
        <a:blipFill>
          <a:blip xmlns:r="http://schemas.openxmlformats.org/officeDocument/2006/relationships" r:embed="rId1"/>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583767</xdr:colOff>
      <xdr:row>7</xdr:row>
      <xdr:rowOff>171234</xdr:rowOff>
    </xdr:from>
    <xdr:to>
      <xdr:col>19</xdr:col>
      <xdr:colOff>528204</xdr:colOff>
      <xdr:row>21</xdr:row>
      <xdr:rowOff>123609</xdr:rowOff>
    </xdr:to>
    <xdr:sp macro="" textlink="">
      <xdr:nvSpPr>
        <xdr:cNvPr id="39" name="Rectangle 38">
          <a:extLst>
            <a:ext uri="{FF2B5EF4-FFF2-40B4-BE49-F238E27FC236}">
              <a16:creationId xmlns:a16="http://schemas.microsoft.com/office/drawing/2014/main" id="{8C7AE7A0-CABE-484A-A92D-99EFB361E936}"/>
            </a:ext>
          </a:extLst>
        </xdr:cNvPr>
        <xdr:cNvSpPr/>
      </xdr:nvSpPr>
      <xdr:spPr>
        <a:xfrm>
          <a:off x="8508567" y="1459445"/>
          <a:ext cx="3602037" cy="2528798"/>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540824</xdr:colOff>
      <xdr:row>0</xdr:row>
      <xdr:rowOff>42594</xdr:rowOff>
    </xdr:from>
    <xdr:to>
      <xdr:col>14</xdr:col>
      <xdr:colOff>556064</xdr:colOff>
      <xdr:row>4</xdr:row>
      <xdr:rowOff>42594</xdr:rowOff>
    </xdr:to>
    <xdr:sp macro="" textlink="">
      <xdr:nvSpPr>
        <xdr:cNvPr id="2" name="Rectangle: Rounded Corners 1">
          <a:extLst>
            <a:ext uri="{FF2B5EF4-FFF2-40B4-BE49-F238E27FC236}">
              <a16:creationId xmlns:a16="http://schemas.microsoft.com/office/drawing/2014/main" id="{A5C73CCE-0417-4299-8E17-A92C627487AB}"/>
            </a:ext>
          </a:extLst>
        </xdr:cNvPr>
        <xdr:cNvSpPr/>
      </xdr:nvSpPr>
      <xdr:spPr>
        <a:xfrm>
          <a:off x="7203439" y="42594"/>
          <a:ext cx="1832317" cy="742462"/>
        </a:xfrm>
        <a:prstGeom prst="round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1">
              <a:solidFill>
                <a:sysClr val="windowText" lastClr="000000"/>
              </a:solidFill>
            </a:rPr>
            <a:t>Finance</a:t>
          </a:r>
          <a:r>
            <a:rPr lang="en-IN" sz="1800" b="1" i="1" baseline="0">
              <a:solidFill>
                <a:sysClr val="windowText" lastClr="000000"/>
              </a:solidFill>
            </a:rPr>
            <a:t> Data</a:t>
          </a:r>
          <a:r>
            <a:rPr lang="en-IN" sz="1800" b="1" i="1">
              <a:solidFill>
                <a:sysClr val="windowText" lastClr="000000"/>
              </a:solidFill>
            </a:rPr>
            <a:t> Dashboard</a:t>
          </a:r>
        </a:p>
      </xdr:txBody>
    </xdr:sp>
    <xdr:clientData/>
  </xdr:twoCellAnchor>
  <xdr:twoCellAnchor>
    <xdr:from>
      <xdr:col>26</xdr:col>
      <xdr:colOff>101262</xdr:colOff>
      <xdr:row>0</xdr:row>
      <xdr:rowOff>0</xdr:rowOff>
    </xdr:from>
    <xdr:to>
      <xdr:col>28</xdr:col>
      <xdr:colOff>253662</xdr:colOff>
      <xdr:row>5</xdr:row>
      <xdr:rowOff>136498</xdr:rowOff>
    </xdr:to>
    <xdr:sp macro="" textlink="">
      <xdr:nvSpPr>
        <xdr:cNvPr id="3" name="Thought Bubble: Cloud 2">
          <a:hlinkClick xmlns:r="http://schemas.openxmlformats.org/officeDocument/2006/relationships" r:id="rId4"/>
          <a:extLst>
            <a:ext uri="{FF2B5EF4-FFF2-40B4-BE49-F238E27FC236}">
              <a16:creationId xmlns:a16="http://schemas.microsoft.com/office/drawing/2014/main" id="{9ADB13B1-3C8C-41AD-B62D-DF2CF915EA67}"/>
            </a:ext>
          </a:extLst>
        </xdr:cNvPr>
        <xdr:cNvSpPr/>
      </xdr:nvSpPr>
      <xdr:spPr>
        <a:xfrm>
          <a:off x="16006670" y="0"/>
          <a:ext cx="1375893" cy="1048752"/>
        </a:xfrm>
        <a:prstGeom prst="cloudCallou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ysClr val="windowText" lastClr="000000"/>
              </a:solidFill>
            </a:rPr>
            <a:t>Data</a:t>
          </a:r>
        </a:p>
      </xdr:txBody>
    </xdr:sp>
    <xdr:clientData/>
  </xdr:twoCellAnchor>
  <xdr:twoCellAnchor editAs="oneCell">
    <xdr:from>
      <xdr:col>1</xdr:col>
      <xdr:colOff>594101</xdr:colOff>
      <xdr:row>0</xdr:row>
      <xdr:rowOff>32849</xdr:rowOff>
    </xdr:from>
    <xdr:to>
      <xdr:col>6</xdr:col>
      <xdr:colOff>431584</xdr:colOff>
      <xdr:row>7</xdr:row>
      <xdr:rowOff>88871</xdr:rowOff>
    </xdr:to>
    <mc:AlternateContent xmlns:mc="http://schemas.openxmlformats.org/markup-compatibility/2006" xmlns:tsle="http://schemas.microsoft.com/office/drawing/2012/timeslicer">
      <mc:Choice Requires="tsle">
        <xdr:graphicFrame macro="">
          <xdr:nvGraphicFramePr>
            <xdr:cNvPr id="5" name="Month 1">
              <a:extLst>
                <a:ext uri="{FF2B5EF4-FFF2-40B4-BE49-F238E27FC236}">
                  <a16:creationId xmlns:a16="http://schemas.microsoft.com/office/drawing/2014/main" id="{2A4B455B-A38F-4768-9736-21A1044050F5}"/>
                </a:ext>
              </a:extLst>
            </xdr:cNvPr>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1209048" y="32849"/>
              <a:ext cx="2912220" cy="13661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603605</xdr:colOff>
      <xdr:row>7</xdr:row>
      <xdr:rowOff>171234</xdr:rowOff>
    </xdr:from>
    <xdr:to>
      <xdr:col>7</xdr:col>
      <xdr:colOff>548042</xdr:colOff>
      <xdr:row>21</xdr:row>
      <xdr:rowOff>123609</xdr:rowOff>
    </xdr:to>
    <xdr:grpSp>
      <xdr:nvGrpSpPr>
        <xdr:cNvPr id="41" name="Group 40">
          <a:extLst>
            <a:ext uri="{FF2B5EF4-FFF2-40B4-BE49-F238E27FC236}">
              <a16:creationId xmlns:a16="http://schemas.microsoft.com/office/drawing/2014/main" id="{4A3BC404-9CF4-473C-7CC3-9CA568ECA91D}"/>
            </a:ext>
          </a:extLst>
        </xdr:cNvPr>
        <xdr:cNvGrpSpPr/>
      </xdr:nvGrpSpPr>
      <xdr:grpSpPr>
        <a:xfrm>
          <a:off x="1209297" y="1470542"/>
          <a:ext cx="3578591" cy="2550990"/>
          <a:chOff x="1216922" y="1472210"/>
          <a:chExt cx="3624340" cy="2554326"/>
        </a:xfrm>
      </xdr:grpSpPr>
      <xdr:sp macro="" textlink="">
        <xdr:nvSpPr>
          <xdr:cNvPr id="9" name="Rectangle 8">
            <a:extLst>
              <a:ext uri="{FF2B5EF4-FFF2-40B4-BE49-F238E27FC236}">
                <a16:creationId xmlns:a16="http://schemas.microsoft.com/office/drawing/2014/main" id="{19378B2B-5018-AA53-34BE-B0B674A49992}"/>
              </a:ext>
            </a:extLst>
          </xdr:cNvPr>
          <xdr:cNvSpPr/>
        </xdr:nvSpPr>
        <xdr:spPr>
          <a:xfrm>
            <a:off x="1216922" y="1472210"/>
            <a:ext cx="3624340" cy="2554326"/>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40E713BC-B9BB-4229-BAD1-ACD6AAFF0FC4}"/>
              </a:ext>
            </a:extLst>
          </xdr:cNvPr>
          <xdr:cNvGraphicFramePr>
            <a:graphicFrameLocks/>
          </xdr:cNvGraphicFramePr>
        </xdr:nvGraphicFramePr>
        <xdr:xfrm>
          <a:off x="1260703" y="1527332"/>
          <a:ext cx="3536776" cy="244408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594595</xdr:colOff>
      <xdr:row>7</xdr:row>
      <xdr:rowOff>171234</xdr:rowOff>
    </xdr:from>
    <xdr:to>
      <xdr:col>13</xdr:col>
      <xdr:colOff>539032</xdr:colOff>
      <xdr:row>21</xdr:row>
      <xdr:rowOff>123609</xdr:rowOff>
    </xdr:to>
    <xdr:grpSp>
      <xdr:nvGrpSpPr>
        <xdr:cNvPr id="42" name="Group 41">
          <a:extLst>
            <a:ext uri="{FF2B5EF4-FFF2-40B4-BE49-F238E27FC236}">
              <a16:creationId xmlns:a16="http://schemas.microsoft.com/office/drawing/2014/main" id="{C771AFAA-5917-44B2-2E19-5F00589BEFF2}"/>
            </a:ext>
          </a:extLst>
        </xdr:cNvPr>
        <xdr:cNvGrpSpPr/>
      </xdr:nvGrpSpPr>
      <xdr:grpSpPr>
        <a:xfrm>
          <a:off x="4834441" y="1470542"/>
          <a:ext cx="3578591" cy="2550990"/>
          <a:chOff x="4887815" y="1472210"/>
          <a:chExt cx="3624339" cy="2554326"/>
        </a:xfrm>
      </xdr:grpSpPr>
      <xdr:sp macro="" textlink="">
        <xdr:nvSpPr>
          <xdr:cNvPr id="40" name="Rectangle 39">
            <a:extLst>
              <a:ext uri="{FF2B5EF4-FFF2-40B4-BE49-F238E27FC236}">
                <a16:creationId xmlns:a16="http://schemas.microsoft.com/office/drawing/2014/main" id="{51C26EED-ACA2-466F-84CC-DFEC314B0836}"/>
              </a:ext>
            </a:extLst>
          </xdr:cNvPr>
          <xdr:cNvSpPr/>
        </xdr:nvSpPr>
        <xdr:spPr>
          <a:xfrm>
            <a:off x="4887815" y="1472210"/>
            <a:ext cx="3624339" cy="2554326"/>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0BAD823C-DC01-4338-8231-E1A4E890EC62}"/>
              </a:ext>
            </a:extLst>
          </xdr:cNvPr>
          <xdr:cNvGraphicFramePr>
            <a:graphicFrameLocks/>
          </xdr:cNvGraphicFramePr>
        </xdr:nvGraphicFramePr>
        <xdr:xfrm>
          <a:off x="4936871" y="1520363"/>
          <a:ext cx="3526227" cy="245802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26626</xdr:colOff>
      <xdr:row>8</xdr:row>
      <xdr:rowOff>39140</xdr:rowOff>
    </xdr:from>
    <xdr:to>
      <xdr:col>19</xdr:col>
      <xdr:colOff>475745</xdr:colOff>
      <xdr:row>21</xdr:row>
      <xdr:rowOff>71673</xdr:rowOff>
    </xdr:to>
    <xdr:graphicFrame macro="">
      <xdr:nvGraphicFramePr>
        <xdr:cNvPr id="8" name="Chart 7">
          <a:extLst>
            <a:ext uri="{FF2B5EF4-FFF2-40B4-BE49-F238E27FC236}">
              <a16:creationId xmlns:a16="http://schemas.microsoft.com/office/drawing/2014/main" id="{A0ED4DFA-FC83-4B87-A7C3-5B8348FEE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603605</xdr:colOff>
      <xdr:row>21</xdr:row>
      <xdr:rowOff>171453</xdr:rowOff>
    </xdr:from>
    <xdr:to>
      <xdr:col>7</xdr:col>
      <xdr:colOff>548042</xdr:colOff>
      <xdr:row>35</xdr:row>
      <xdr:rowOff>121958</xdr:rowOff>
    </xdr:to>
    <xdr:grpSp>
      <xdr:nvGrpSpPr>
        <xdr:cNvPr id="44" name="Group 43">
          <a:extLst>
            <a:ext uri="{FF2B5EF4-FFF2-40B4-BE49-F238E27FC236}">
              <a16:creationId xmlns:a16="http://schemas.microsoft.com/office/drawing/2014/main" id="{D96934B7-EC89-4282-628F-B7AB69DEBC08}"/>
            </a:ext>
          </a:extLst>
        </xdr:cNvPr>
        <xdr:cNvGrpSpPr/>
      </xdr:nvGrpSpPr>
      <xdr:grpSpPr>
        <a:xfrm>
          <a:off x="1209297" y="4069376"/>
          <a:ext cx="3578591" cy="2549120"/>
          <a:chOff x="1216922" y="4074380"/>
          <a:chExt cx="3624340" cy="2552456"/>
        </a:xfrm>
      </xdr:grpSpPr>
      <xdr:sp macro="" textlink="">
        <xdr:nvSpPr>
          <xdr:cNvPr id="37" name="Rectangle 36">
            <a:extLst>
              <a:ext uri="{FF2B5EF4-FFF2-40B4-BE49-F238E27FC236}">
                <a16:creationId xmlns:a16="http://schemas.microsoft.com/office/drawing/2014/main" id="{903E28F7-F43E-45EE-A0D7-96278558B7CF}"/>
              </a:ext>
            </a:extLst>
          </xdr:cNvPr>
          <xdr:cNvSpPr/>
        </xdr:nvSpPr>
        <xdr:spPr>
          <a:xfrm>
            <a:off x="1216922" y="4074380"/>
            <a:ext cx="3624340" cy="2552456"/>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6FEA40FF-7955-42F5-AA2B-557070DE326E}"/>
              </a:ext>
            </a:extLst>
          </xdr:cNvPr>
          <xdr:cNvGraphicFramePr>
            <a:graphicFrameLocks/>
          </xdr:cNvGraphicFramePr>
        </xdr:nvGraphicFramePr>
        <xdr:xfrm>
          <a:off x="1268128" y="4131900"/>
          <a:ext cx="3521927" cy="243741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7</xdr:col>
      <xdr:colOff>594595</xdr:colOff>
      <xdr:row>21</xdr:row>
      <xdr:rowOff>170518</xdr:rowOff>
    </xdr:from>
    <xdr:to>
      <xdr:col>13</xdr:col>
      <xdr:colOff>539032</xdr:colOff>
      <xdr:row>35</xdr:row>
      <xdr:rowOff>122894</xdr:rowOff>
    </xdr:to>
    <xdr:grpSp>
      <xdr:nvGrpSpPr>
        <xdr:cNvPr id="45" name="Group 44">
          <a:extLst>
            <a:ext uri="{FF2B5EF4-FFF2-40B4-BE49-F238E27FC236}">
              <a16:creationId xmlns:a16="http://schemas.microsoft.com/office/drawing/2014/main" id="{36420B59-4861-C470-31C4-B05F77067DAA}"/>
            </a:ext>
          </a:extLst>
        </xdr:cNvPr>
        <xdr:cNvGrpSpPr/>
      </xdr:nvGrpSpPr>
      <xdr:grpSpPr>
        <a:xfrm>
          <a:off x="4834441" y="4068441"/>
          <a:ext cx="3578591" cy="2550991"/>
          <a:chOff x="4887815" y="4073445"/>
          <a:chExt cx="3624339" cy="2554327"/>
        </a:xfrm>
      </xdr:grpSpPr>
      <xdr:sp macro="" textlink="">
        <xdr:nvSpPr>
          <xdr:cNvPr id="36" name="Rectangle 35">
            <a:extLst>
              <a:ext uri="{FF2B5EF4-FFF2-40B4-BE49-F238E27FC236}">
                <a16:creationId xmlns:a16="http://schemas.microsoft.com/office/drawing/2014/main" id="{CC2A7107-0FCA-494D-AED2-BA2BB67666BC}"/>
              </a:ext>
            </a:extLst>
          </xdr:cNvPr>
          <xdr:cNvSpPr/>
        </xdr:nvSpPr>
        <xdr:spPr>
          <a:xfrm>
            <a:off x="4887815" y="4073445"/>
            <a:ext cx="3624339" cy="2554327"/>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DBC0D94D-14E6-4F93-9D10-154754A73F6D}"/>
              </a:ext>
            </a:extLst>
          </xdr:cNvPr>
          <xdr:cNvGraphicFramePr>
            <a:graphicFrameLocks/>
          </xdr:cNvGraphicFramePr>
        </xdr:nvGraphicFramePr>
        <xdr:xfrm>
          <a:off x="4943840" y="4128621"/>
          <a:ext cx="3512289" cy="2443976"/>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19</xdr:col>
      <xdr:colOff>575167</xdr:colOff>
      <xdr:row>7</xdr:row>
      <xdr:rowOff>171234</xdr:rowOff>
    </xdr:from>
    <xdr:to>
      <xdr:col>25</xdr:col>
      <xdr:colOff>519604</xdr:colOff>
      <xdr:row>21</xdr:row>
      <xdr:rowOff>123609</xdr:rowOff>
    </xdr:to>
    <xdr:grpSp>
      <xdr:nvGrpSpPr>
        <xdr:cNvPr id="43" name="Group 42">
          <a:extLst>
            <a:ext uri="{FF2B5EF4-FFF2-40B4-BE49-F238E27FC236}">
              <a16:creationId xmlns:a16="http://schemas.microsoft.com/office/drawing/2014/main" id="{03379BFE-9326-B6DB-1BFB-3C6E4EBD34DF}"/>
            </a:ext>
          </a:extLst>
        </xdr:cNvPr>
        <xdr:cNvGrpSpPr/>
      </xdr:nvGrpSpPr>
      <xdr:grpSpPr>
        <a:xfrm>
          <a:off x="12083321" y="1470542"/>
          <a:ext cx="3578591" cy="2550990"/>
          <a:chOff x="12228191" y="1472210"/>
          <a:chExt cx="3624340" cy="2554326"/>
        </a:xfrm>
      </xdr:grpSpPr>
      <xdr:sp macro="" textlink="">
        <xdr:nvSpPr>
          <xdr:cNvPr id="38" name="Rectangle 37">
            <a:extLst>
              <a:ext uri="{FF2B5EF4-FFF2-40B4-BE49-F238E27FC236}">
                <a16:creationId xmlns:a16="http://schemas.microsoft.com/office/drawing/2014/main" id="{B5054E86-2FD0-40A3-B25F-3CD02ACEDE87}"/>
              </a:ext>
            </a:extLst>
          </xdr:cNvPr>
          <xdr:cNvSpPr/>
        </xdr:nvSpPr>
        <xdr:spPr>
          <a:xfrm>
            <a:off x="12228191" y="1472210"/>
            <a:ext cx="3624340" cy="2554326"/>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 name="Chart 11">
            <a:extLst>
              <a:ext uri="{FF2B5EF4-FFF2-40B4-BE49-F238E27FC236}">
                <a16:creationId xmlns:a16="http://schemas.microsoft.com/office/drawing/2014/main" id="{35DEAF69-1F35-407E-BFF3-1BA69FEA70FB}"/>
              </a:ext>
            </a:extLst>
          </xdr:cNvPr>
          <xdr:cNvGraphicFramePr>
            <a:graphicFrameLocks/>
          </xdr:cNvGraphicFramePr>
        </xdr:nvGraphicFramePr>
        <xdr:xfrm>
          <a:off x="12287559" y="1530210"/>
          <a:ext cx="3505603" cy="2438327"/>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13</xdr:col>
      <xdr:colOff>583767</xdr:colOff>
      <xdr:row>21</xdr:row>
      <xdr:rowOff>170518</xdr:rowOff>
    </xdr:from>
    <xdr:to>
      <xdr:col>19</xdr:col>
      <xdr:colOff>528203</xdr:colOff>
      <xdr:row>35</xdr:row>
      <xdr:rowOff>122894</xdr:rowOff>
    </xdr:to>
    <xdr:grpSp>
      <xdr:nvGrpSpPr>
        <xdr:cNvPr id="46" name="Group 45">
          <a:extLst>
            <a:ext uri="{FF2B5EF4-FFF2-40B4-BE49-F238E27FC236}">
              <a16:creationId xmlns:a16="http://schemas.microsoft.com/office/drawing/2014/main" id="{81F8BF69-1770-22BC-0433-6C73775921AE}"/>
            </a:ext>
          </a:extLst>
        </xdr:cNvPr>
        <xdr:cNvGrpSpPr/>
      </xdr:nvGrpSpPr>
      <xdr:grpSpPr>
        <a:xfrm>
          <a:off x="8457767" y="4068441"/>
          <a:ext cx="3578590" cy="2550991"/>
          <a:chOff x="8556889" y="4073445"/>
          <a:chExt cx="3624338" cy="2554327"/>
        </a:xfrm>
      </xdr:grpSpPr>
      <xdr:sp macro="" textlink="">
        <xdr:nvSpPr>
          <xdr:cNvPr id="35" name="Rectangle 34">
            <a:extLst>
              <a:ext uri="{FF2B5EF4-FFF2-40B4-BE49-F238E27FC236}">
                <a16:creationId xmlns:a16="http://schemas.microsoft.com/office/drawing/2014/main" id="{A6691A36-8922-48B4-A865-7B0258F4191C}"/>
              </a:ext>
            </a:extLst>
          </xdr:cNvPr>
          <xdr:cNvSpPr/>
        </xdr:nvSpPr>
        <xdr:spPr>
          <a:xfrm>
            <a:off x="8556889" y="4073445"/>
            <a:ext cx="3624338" cy="2554327"/>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E5E90CD3-7CD7-40CE-AF57-E7FA4499BCB1}"/>
              </a:ext>
            </a:extLst>
          </xdr:cNvPr>
          <xdr:cNvGraphicFramePr>
            <a:graphicFrameLocks/>
          </xdr:cNvGraphicFramePr>
        </xdr:nvGraphicFramePr>
        <xdr:xfrm>
          <a:off x="8602798" y="4128620"/>
          <a:ext cx="3532521" cy="2443977"/>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19</xdr:col>
      <xdr:colOff>575167</xdr:colOff>
      <xdr:row>21</xdr:row>
      <xdr:rowOff>170518</xdr:rowOff>
    </xdr:from>
    <xdr:to>
      <xdr:col>25</xdr:col>
      <xdr:colOff>519604</xdr:colOff>
      <xdr:row>35</xdr:row>
      <xdr:rowOff>122894</xdr:rowOff>
    </xdr:to>
    <xdr:grpSp>
      <xdr:nvGrpSpPr>
        <xdr:cNvPr id="47" name="Group 46">
          <a:extLst>
            <a:ext uri="{FF2B5EF4-FFF2-40B4-BE49-F238E27FC236}">
              <a16:creationId xmlns:a16="http://schemas.microsoft.com/office/drawing/2014/main" id="{40FD720C-5826-AB45-8264-C2EF00C32192}"/>
            </a:ext>
          </a:extLst>
        </xdr:cNvPr>
        <xdr:cNvGrpSpPr/>
      </xdr:nvGrpSpPr>
      <xdr:grpSpPr>
        <a:xfrm>
          <a:off x="12083321" y="4068441"/>
          <a:ext cx="3578591" cy="2550991"/>
          <a:chOff x="12228191" y="4073445"/>
          <a:chExt cx="3624340" cy="2554327"/>
        </a:xfrm>
      </xdr:grpSpPr>
      <xdr:sp macro="" textlink="">
        <xdr:nvSpPr>
          <xdr:cNvPr id="32" name="Rectangle 31">
            <a:extLst>
              <a:ext uri="{FF2B5EF4-FFF2-40B4-BE49-F238E27FC236}">
                <a16:creationId xmlns:a16="http://schemas.microsoft.com/office/drawing/2014/main" id="{14B2D34A-1B9E-439D-A75B-D26E46A05AD5}"/>
              </a:ext>
            </a:extLst>
          </xdr:cNvPr>
          <xdr:cNvSpPr/>
        </xdr:nvSpPr>
        <xdr:spPr>
          <a:xfrm>
            <a:off x="12228191" y="4073445"/>
            <a:ext cx="3624340" cy="2554327"/>
          </a:xfrm>
          <a:prstGeom prst="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95E00877-4E42-4E8F-8F03-418FB89907BC}"/>
              </a:ext>
            </a:extLst>
          </xdr:cNvPr>
          <xdr:cNvGraphicFramePr>
            <a:graphicFrameLocks/>
          </xdr:cNvGraphicFramePr>
        </xdr:nvGraphicFramePr>
        <xdr:xfrm>
          <a:off x="12282107" y="4135804"/>
          <a:ext cx="3516508" cy="242960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100881</xdr:colOff>
      <xdr:row>0</xdr:row>
      <xdr:rowOff>31066</xdr:rowOff>
    </xdr:from>
    <xdr:to>
      <xdr:col>1</xdr:col>
      <xdr:colOff>493427</xdr:colOff>
      <xdr:row>35</xdr:row>
      <xdr:rowOff>153340</xdr:rowOff>
    </xdr:to>
    <xdr:grpSp>
      <xdr:nvGrpSpPr>
        <xdr:cNvPr id="33" name="Group 32">
          <a:extLst>
            <a:ext uri="{FF2B5EF4-FFF2-40B4-BE49-F238E27FC236}">
              <a16:creationId xmlns:a16="http://schemas.microsoft.com/office/drawing/2014/main" id="{1832403A-07F6-7B96-CAE9-207B0A044A13}"/>
            </a:ext>
          </a:extLst>
        </xdr:cNvPr>
        <xdr:cNvGrpSpPr/>
      </xdr:nvGrpSpPr>
      <xdr:grpSpPr>
        <a:xfrm>
          <a:off x="100881" y="31066"/>
          <a:ext cx="998238" cy="6618812"/>
          <a:chOff x="111179" y="51661"/>
          <a:chExt cx="1003267" cy="6593671"/>
        </a:xfrm>
      </xdr:grpSpPr>
      <xdr:sp macro="" textlink="">
        <xdr:nvSpPr>
          <xdr:cNvPr id="15" name="Rectangle: Rounded Corners 14">
            <a:extLst>
              <a:ext uri="{FF2B5EF4-FFF2-40B4-BE49-F238E27FC236}">
                <a16:creationId xmlns:a16="http://schemas.microsoft.com/office/drawing/2014/main" id="{83BA1488-BFDC-E487-8968-D7888576A86B}"/>
              </a:ext>
            </a:extLst>
          </xdr:cNvPr>
          <xdr:cNvSpPr/>
        </xdr:nvSpPr>
        <xdr:spPr>
          <a:xfrm>
            <a:off x="111179" y="51661"/>
            <a:ext cx="1003267" cy="6593671"/>
          </a:xfrm>
          <a:prstGeom prst="roundRect">
            <a:avLst/>
          </a:prstGeom>
          <a:blipFill>
            <a:blip xmlns:r="http://schemas.openxmlformats.org/officeDocument/2006/relationships" r:embed="rId1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15">
            <a:hlinkClick xmlns:r="http://schemas.openxmlformats.org/officeDocument/2006/relationships" r:id="rId14"/>
            <a:extLst>
              <a:ext uri="{FF2B5EF4-FFF2-40B4-BE49-F238E27FC236}">
                <a16:creationId xmlns:a16="http://schemas.microsoft.com/office/drawing/2014/main" id="{0ED47CB5-6BCE-C160-8D57-7E159BEB9B81}"/>
              </a:ext>
            </a:extLst>
          </xdr:cNvPr>
          <xdr:cNvSpPr/>
        </xdr:nvSpPr>
        <xdr:spPr>
          <a:xfrm>
            <a:off x="252179" y="199270"/>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tx1"/>
                </a:solidFill>
              </a:rPr>
              <a:t>KPI1</a:t>
            </a:r>
          </a:p>
        </xdr:txBody>
      </xdr:sp>
      <xdr:sp macro="" textlink="">
        <xdr:nvSpPr>
          <xdr:cNvPr id="17" name="Rectangle 16">
            <a:hlinkClick xmlns:r="http://schemas.openxmlformats.org/officeDocument/2006/relationships" r:id="rId15"/>
            <a:extLst>
              <a:ext uri="{FF2B5EF4-FFF2-40B4-BE49-F238E27FC236}">
                <a16:creationId xmlns:a16="http://schemas.microsoft.com/office/drawing/2014/main" id="{7C71A99E-6D1B-437D-8F86-D451AAD4CCC6}"/>
              </a:ext>
            </a:extLst>
          </xdr:cNvPr>
          <xdr:cNvSpPr/>
        </xdr:nvSpPr>
        <xdr:spPr>
          <a:xfrm>
            <a:off x="252179" y="1000322"/>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i="1">
                <a:solidFill>
                  <a:schemeClr val="tx1"/>
                </a:solidFill>
                <a:latin typeface="+mn-lt"/>
                <a:ea typeface="+mn-ea"/>
                <a:cs typeface="+mn-cs"/>
              </a:rPr>
              <a:t>KPI2</a:t>
            </a:r>
          </a:p>
        </xdr:txBody>
      </xdr:sp>
      <xdr:sp macro="" textlink="">
        <xdr:nvSpPr>
          <xdr:cNvPr id="18" name="Rectangle 17">
            <a:hlinkClick xmlns:r="http://schemas.openxmlformats.org/officeDocument/2006/relationships" r:id="rId16"/>
            <a:extLst>
              <a:ext uri="{FF2B5EF4-FFF2-40B4-BE49-F238E27FC236}">
                <a16:creationId xmlns:a16="http://schemas.microsoft.com/office/drawing/2014/main" id="{27FBF7D5-9C62-4491-89D2-EE7FB6C1D6D8}"/>
              </a:ext>
            </a:extLst>
          </xdr:cNvPr>
          <xdr:cNvSpPr/>
        </xdr:nvSpPr>
        <xdr:spPr>
          <a:xfrm>
            <a:off x="252179" y="1801374"/>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i="1">
                <a:solidFill>
                  <a:schemeClr val="tx1"/>
                </a:solidFill>
                <a:latin typeface="+mn-lt"/>
                <a:ea typeface="+mn-ea"/>
                <a:cs typeface="+mn-cs"/>
              </a:rPr>
              <a:t>KPI3</a:t>
            </a:r>
          </a:p>
        </xdr:txBody>
      </xdr:sp>
      <xdr:sp macro="" textlink="">
        <xdr:nvSpPr>
          <xdr:cNvPr id="19" name="Rectangle 18">
            <a:hlinkClick xmlns:r="http://schemas.openxmlformats.org/officeDocument/2006/relationships" r:id="rId17"/>
            <a:extLst>
              <a:ext uri="{FF2B5EF4-FFF2-40B4-BE49-F238E27FC236}">
                <a16:creationId xmlns:a16="http://schemas.microsoft.com/office/drawing/2014/main" id="{0BB81861-7EA0-442A-8230-8B452EAA0B92}"/>
              </a:ext>
            </a:extLst>
          </xdr:cNvPr>
          <xdr:cNvSpPr/>
        </xdr:nvSpPr>
        <xdr:spPr>
          <a:xfrm>
            <a:off x="252179" y="2602425"/>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i="1">
                <a:solidFill>
                  <a:schemeClr val="tx1"/>
                </a:solidFill>
                <a:latin typeface="+mn-lt"/>
                <a:ea typeface="+mn-ea"/>
                <a:cs typeface="+mn-cs"/>
              </a:rPr>
              <a:t>KPI4</a:t>
            </a:r>
          </a:p>
        </xdr:txBody>
      </xdr:sp>
      <xdr:sp macro="" textlink="">
        <xdr:nvSpPr>
          <xdr:cNvPr id="20" name="Rectangle 19">
            <a:hlinkClick xmlns:r="http://schemas.openxmlformats.org/officeDocument/2006/relationships" r:id="rId18"/>
            <a:extLst>
              <a:ext uri="{FF2B5EF4-FFF2-40B4-BE49-F238E27FC236}">
                <a16:creationId xmlns:a16="http://schemas.microsoft.com/office/drawing/2014/main" id="{2AF6123D-E160-4E59-A00B-3EAC8A1B2FBA}"/>
              </a:ext>
            </a:extLst>
          </xdr:cNvPr>
          <xdr:cNvSpPr/>
        </xdr:nvSpPr>
        <xdr:spPr>
          <a:xfrm>
            <a:off x="252179" y="3403476"/>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i="1">
                <a:solidFill>
                  <a:schemeClr val="tx1"/>
                </a:solidFill>
                <a:latin typeface="+mn-lt"/>
                <a:ea typeface="+mn-ea"/>
                <a:cs typeface="+mn-cs"/>
              </a:rPr>
              <a:t>KPI5</a:t>
            </a:r>
          </a:p>
        </xdr:txBody>
      </xdr:sp>
      <xdr:sp macro="" textlink="">
        <xdr:nvSpPr>
          <xdr:cNvPr id="21" name="Rectangle 20">
            <a:hlinkClick xmlns:r="http://schemas.openxmlformats.org/officeDocument/2006/relationships" r:id="rId19"/>
            <a:extLst>
              <a:ext uri="{FF2B5EF4-FFF2-40B4-BE49-F238E27FC236}">
                <a16:creationId xmlns:a16="http://schemas.microsoft.com/office/drawing/2014/main" id="{F12D9E12-E2C2-4AE5-A9BD-4D331F590A84}"/>
              </a:ext>
            </a:extLst>
          </xdr:cNvPr>
          <xdr:cNvSpPr/>
        </xdr:nvSpPr>
        <xdr:spPr>
          <a:xfrm>
            <a:off x="252179" y="4204528"/>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i="1">
                <a:solidFill>
                  <a:schemeClr val="tx1"/>
                </a:solidFill>
                <a:latin typeface="+mn-lt"/>
                <a:ea typeface="+mn-ea"/>
                <a:cs typeface="+mn-cs"/>
              </a:rPr>
              <a:t>KPI6</a:t>
            </a:r>
          </a:p>
        </xdr:txBody>
      </xdr:sp>
      <xdr:sp macro="" textlink="">
        <xdr:nvSpPr>
          <xdr:cNvPr id="22" name="Rectangle 21">
            <a:hlinkClick xmlns:r="http://schemas.openxmlformats.org/officeDocument/2006/relationships" r:id="rId20"/>
            <a:extLst>
              <a:ext uri="{FF2B5EF4-FFF2-40B4-BE49-F238E27FC236}">
                <a16:creationId xmlns:a16="http://schemas.microsoft.com/office/drawing/2014/main" id="{63D5C298-A49C-4A8E-8D91-A79445F828E0}"/>
              </a:ext>
            </a:extLst>
          </xdr:cNvPr>
          <xdr:cNvSpPr/>
        </xdr:nvSpPr>
        <xdr:spPr>
          <a:xfrm>
            <a:off x="252179" y="5005579"/>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i="1">
                <a:solidFill>
                  <a:schemeClr val="tx1"/>
                </a:solidFill>
                <a:latin typeface="+mn-lt"/>
                <a:ea typeface="+mn-ea"/>
                <a:cs typeface="+mn-cs"/>
              </a:rPr>
              <a:t>KPI7</a:t>
            </a:r>
          </a:p>
        </xdr:txBody>
      </xdr:sp>
      <xdr:sp macro="" textlink="">
        <xdr:nvSpPr>
          <xdr:cNvPr id="23" name="Rectangle 22">
            <a:hlinkClick xmlns:r="http://schemas.openxmlformats.org/officeDocument/2006/relationships" r:id="rId21"/>
            <a:extLst>
              <a:ext uri="{FF2B5EF4-FFF2-40B4-BE49-F238E27FC236}">
                <a16:creationId xmlns:a16="http://schemas.microsoft.com/office/drawing/2014/main" id="{EA643FB7-F2F4-4F87-9062-D4A88B176F25}"/>
              </a:ext>
            </a:extLst>
          </xdr:cNvPr>
          <xdr:cNvSpPr/>
        </xdr:nvSpPr>
        <xdr:spPr>
          <a:xfrm>
            <a:off x="252179" y="5806627"/>
            <a:ext cx="710752" cy="703307"/>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i="1">
                <a:solidFill>
                  <a:schemeClr val="tx1"/>
                </a:solidFill>
                <a:latin typeface="+mn-lt"/>
                <a:ea typeface="+mn-ea"/>
                <a:cs typeface="+mn-cs"/>
              </a:rPr>
              <a:t>KPI8</a:t>
            </a:r>
          </a:p>
        </xdr:txBody>
      </xdr:sp>
    </xdr:grpSp>
    <xdr:clientData/>
  </xdr:twoCellAnchor>
  <xdr:twoCellAnchor editAs="oneCell">
    <xdr:from>
      <xdr:col>23</xdr:col>
      <xdr:colOff>396596</xdr:colOff>
      <xdr:row>0</xdr:row>
      <xdr:rowOff>0</xdr:rowOff>
    </xdr:from>
    <xdr:to>
      <xdr:col>25</xdr:col>
      <xdr:colOff>519585</xdr:colOff>
      <xdr:row>7</xdr:row>
      <xdr:rowOff>133684</xdr:rowOff>
    </xdr:to>
    <mc:AlternateContent xmlns:mc="http://schemas.openxmlformats.org/markup-compatibility/2006" xmlns:a14="http://schemas.microsoft.com/office/drawing/2010/main">
      <mc:Choice Requires="a14">
        <xdr:graphicFrame macro="">
          <xdr:nvGraphicFramePr>
            <xdr:cNvPr id="34" name="Department">
              <a:extLst>
                <a:ext uri="{FF2B5EF4-FFF2-40B4-BE49-F238E27FC236}">
                  <a16:creationId xmlns:a16="http://schemas.microsoft.com/office/drawing/2014/main" id="{60E1CB2C-2BE9-4345-A76B-CC409D155E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466765" y="0"/>
              <a:ext cx="1346482" cy="1410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07527199076" backgroundQuery="1" createdVersion="8" refreshedVersion="8" minRefreshableVersion="3" recordCount="60" xr:uid="{B542E5D1-05A8-4634-AC28-7B121C7E16A0}">
  <cacheSource type="external" connectionId="1"/>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ount="58">
        <n v="176250"/>
        <n v="33478"/>
        <n v="56406"/>
        <n v="2590"/>
        <n v="14614"/>
        <n v="213930"/>
        <n v="66634"/>
        <n v="70331"/>
        <n v="34584"/>
        <n v="75045"/>
        <n v="199537"/>
        <n v="21362"/>
        <n v="2928"/>
        <n v="25225"/>
        <n v="109313"/>
        <n v="215195"/>
        <n v="53960"/>
        <n v="48437"/>
        <n v="0"/>
        <n v="80454"/>
        <n v="216787"/>
        <n v="5416"/>
        <n v="71967"/>
        <n v="85160"/>
        <n v="69564"/>
        <n v="209678"/>
        <n v="57430"/>
        <n v="44961"/>
        <n v="26318"/>
        <n v="207864"/>
        <n v="46387"/>
        <n v="55189"/>
        <n v="44517"/>
        <n v="20238"/>
        <n v="211477"/>
        <n v="51156"/>
        <n v="104421"/>
        <n v="52489"/>
        <n v="175221"/>
        <n v="67671"/>
        <n v="46814"/>
        <n v="39403"/>
        <n v="31787"/>
        <n v="187581"/>
        <n v="55837"/>
        <n v="45286"/>
        <n v="23846"/>
        <n v="89119"/>
        <n v="261795"/>
        <n v="24711"/>
        <n v="85906"/>
        <n v="41910"/>
        <n v="78783"/>
        <n v="179949"/>
        <n v="1757"/>
        <n v="71810"/>
        <n v="97823"/>
        <n v="100590"/>
      </sharedItems>
    </cacheField>
    <cacheField name="Expense" numFmtId="0">
      <sharedItems containsSemiMixedTypes="0" containsString="0" containsNumber="1" containsInteger="1" minValue="0" maxValue="196061" count="58">
        <n v="102043"/>
        <n v="23869"/>
        <n v="51069"/>
        <n v="2224"/>
        <n v="10419"/>
        <n v="121086"/>
        <n v="62861"/>
        <n v="38036"/>
        <n v="14915"/>
        <n v="68478"/>
        <n v="156257"/>
        <n v="18437"/>
        <n v="2230"/>
        <n v="10521"/>
        <n v="44886"/>
        <n v="126716"/>
        <n v="31914"/>
        <n v="45241"/>
        <n v="0"/>
        <n v="68513"/>
        <n v="111521"/>
        <n v="4792"/>
        <n v="38517"/>
        <n v="36134"/>
        <n v="52072"/>
        <n v="154809"/>
        <n v="37978"/>
        <n v="24266"/>
        <n v="15559"/>
        <n v="196061"/>
        <n v="37349"/>
        <n v="44270"/>
        <n v="33475"/>
        <n v="16622"/>
        <n v="115056"/>
        <n v="33492"/>
        <n v="87758"/>
        <n v="33638"/>
        <n v="163023"/>
        <n v="27770"/>
        <n v="19175"/>
        <n v="36069"/>
        <n v="16543"/>
        <n v="119830"/>
        <n v="44078"/>
        <n v="25920"/>
        <n v="13647"/>
        <n v="83724"/>
        <n v="122964"/>
        <n v="15981"/>
        <n v="36883"/>
        <n v="28028"/>
        <n v="35824"/>
        <n v="80675"/>
        <n v="960"/>
        <n v="46349"/>
        <n v="75942"/>
        <n v="58491"/>
      </sharedItems>
    </cacheField>
    <cacheField name="Marketing Spend" numFmtId="0">
      <sharedItems containsSemiMixedTypes="0" containsString="0" containsNumber="1" containsInteger="1" minValue="0" maxValue="51573" count="58">
        <n v="14260"/>
        <n v="1060"/>
        <n v="18311"/>
        <n v="92"/>
        <n v="797"/>
        <n v="33976"/>
        <n v="674"/>
        <n v="3953"/>
        <n v="219"/>
        <n v="2446"/>
        <n v="26878"/>
        <n v="201"/>
        <n v="949"/>
        <n v="542"/>
        <n v="2476"/>
        <n v="44447"/>
        <n v="1314"/>
        <n v="22276"/>
        <n v="0"/>
        <n v="4050"/>
        <n v="21828"/>
        <n v="277"/>
        <n v="16949"/>
        <n v="1156"/>
        <n v="1562"/>
        <n v="11042"/>
        <n v="1145"/>
        <n v="4561"/>
        <n v="318"/>
        <n v="51573"/>
        <n v="1372"/>
        <n v="15448"/>
        <n v="2661"/>
        <n v="268"/>
        <n v="41418"/>
        <n v="810"/>
        <n v="4775"/>
        <n v="2886"/>
        <n v="37794"/>
        <n v="595"/>
        <n v="2618"/>
        <n v="644"/>
        <n v="1025"/>
        <n v="13283"/>
        <n v="3885"/>
        <n v="5735"/>
        <n v="871"/>
        <n v="3521"/>
        <n v="46709"/>
        <n v="1430"/>
        <n v="15911"/>
        <n v="2525"/>
        <n v="3010"/>
        <n v="28832"/>
        <n v="75"/>
        <n v="16808"/>
        <n v="3287"/>
        <n v="4839"/>
      </sharedItems>
    </cacheField>
    <cacheField name="Tax" numFmtId="0">
      <sharedItems containsSemiMixedTypes="0" containsString="0" containsNumber="1" containsInteger="1" minValue="0" maxValue="23763" count="58">
        <n v="14695"/>
        <n v="1760"/>
        <n v="5327"/>
        <n v="68"/>
        <n v="1437"/>
        <n v="17562"/>
        <n v="4247"/>
        <n v="7817"/>
        <n v="2169"/>
        <n v="4706"/>
        <n v="9911"/>
        <n v="1786"/>
        <n v="222"/>
        <n v="1671"/>
        <n v="8617"/>
        <n v="9214"/>
        <n v="4293"/>
        <n v="3776"/>
        <n v="0"/>
        <n v="4329"/>
        <n v="18134"/>
        <n v="519"/>
        <n v="4579"/>
        <n v="8222"/>
        <n v="1762"/>
        <n v="17040"/>
        <n v="6048"/>
        <n v="4650"/>
        <n v="628"/>
        <n v="20837"/>
        <n v="1199"/>
        <n v="1824"/>
        <n v="4721"/>
        <n v="2077"/>
        <n v="23763"/>
        <n v="4042"/>
        <n v="3293"/>
        <n v="4181"/>
        <n v="14957"/>
        <n v="6645"/>
        <n v="4458"/>
        <n v="2986"/>
        <n v="842"/>
        <n v="8866"/>
        <n v="3257"/>
        <n v="989"/>
        <n v="1517"/>
        <n v="7253"/>
        <n v="12283"/>
        <n v="2892"/>
        <n v="7125"/>
        <n v="4381"/>
        <n v="6897"/>
        <n v="14045"/>
        <n v="80"/>
        <n v="2007"/>
        <n v="6348"/>
        <n v="3325"/>
      </sharedItems>
    </cacheField>
    <cacheField name="Profit" numFmtId="0">
      <sharedItems containsSemiMixedTypes="0" containsString="0" containsNumber="1" containsInteger="1" minValue="-9034" maxValue="126548" count="58">
        <n v="59512"/>
        <n v="7849"/>
        <n v="10"/>
        <n v="298"/>
        <n v="2758"/>
        <n v="75282"/>
        <n v="-474"/>
        <n v="24478"/>
        <n v="17500"/>
        <n v="1861"/>
        <n v="33369"/>
        <n v="1139"/>
        <n v="476"/>
        <n v="13033"/>
        <n v="55810"/>
        <n v="79265"/>
        <n v="17753"/>
        <n v="-580"/>
        <n v="0"/>
        <n v="7612"/>
        <n v="87132"/>
        <n v="105"/>
        <n v="28871"/>
        <n v="40804"/>
        <n v="15730"/>
        <n v="37829"/>
        <n v="13404"/>
        <n v="16045"/>
        <n v="10131"/>
        <n v="-9034"/>
        <n v="7839"/>
        <n v="9095"/>
        <n v="6321"/>
        <n v="1539"/>
        <n v="72658"/>
        <n v="13622"/>
        <n v="13370"/>
        <n v="14670"/>
        <n v="-2759"/>
        <n v="33256"/>
        <n v="23181"/>
        <n v="348"/>
        <n v="14402"/>
        <n v="58885"/>
        <n v="8502"/>
        <n v="18377"/>
        <n v="8682"/>
        <n v="-1858"/>
        <n v="126548"/>
        <n v="5838"/>
        <n v="41898"/>
        <n v="9501"/>
        <n v="36062"/>
        <n v="85229"/>
        <n v="717"/>
        <n v="23454"/>
        <n v="15533"/>
        <n v="38774"/>
      </sharedItems>
    </cacheField>
    <cacheField name="ROI" numFmtId="0">
      <sharedItems containsSemiMixedTypes="0" containsString="0" containsNumber="1" minValue="0" maxValue="1.44" count="46">
        <n v="0.73"/>
        <n v="0.4"/>
        <n v="0.1"/>
        <n v="0.16"/>
        <n v="0.77"/>
        <n v="0.06"/>
        <n v="0.85"/>
        <n v="1.32"/>
        <n v="0.28000000000000003"/>
        <n v="0.31"/>
        <n v="1.4"/>
        <n v="1.44"/>
        <n v="0.7"/>
        <n v="0.69"/>
        <n v="7.0000000000000007E-2"/>
        <n v="0"/>
        <n v="0.17"/>
        <n v="0.94"/>
        <n v="0.13"/>
        <n v="0.87"/>
        <n v="1.36"/>
        <n v="0.34"/>
        <n v="0.35"/>
        <n v="0.51"/>
        <n v="0.24"/>
        <n v="0.25"/>
        <n v="0.33"/>
        <n v="0.22"/>
        <n v="0.84"/>
        <n v="0.53"/>
        <n v="0.19"/>
        <n v="0.56000000000000005"/>
        <n v="0.09"/>
        <n v="0.92"/>
        <n v="0.56999999999999995"/>
        <n v="0.27"/>
        <n v="0.75"/>
        <n v="1.1299999999999999"/>
        <n v="0.55000000000000004"/>
        <n v="1.33"/>
        <n v="0.5"/>
        <n v="1.2"/>
        <n v="1.23"/>
        <n v="0.83"/>
        <n v="0.28999999999999998"/>
        <n v="0.72"/>
      </sharedItems>
    </cacheField>
  </cacheFields>
  <extLst>
    <ext xmlns:x14="http://schemas.microsoft.com/office/spreadsheetml/2009/9/main" uri="{725AE2AE-9491-48be-B2B4-4EB974FC3084}">
      <x14:pivotCacheDefinition pivotCacheId="4978639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08402083335" backgroundQuery="1" createdVersion="8" refreshedVersion="8" minRefreshableVersion="3" recordCount="60" xr:uid="{389DDB1C-1DB7-427D-B323-C38F1F377962}">
  <cacheSource type="external" connectionId="2"/>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ount="58">
        <n v="176250"/>
        <n v="33478"/>
        <n v="56406"/>
        <n v="2590"/>
        <n v="14614"/>
        <n v="213930"/>
        <n v="66634"/>
        <n v="70331"/>
        <n v="34584"/>
        <n v="75045"/>
        <n v="199537"/>
        <n v="21362"/>
        <n v="2928"/>
        <n v="25225"/>
        <n v="109313"/>
        <n v="215195"/>
        <n v="53960"/>
        <n v="48437"/>
        <n v="0"/>
        <n v="80454"/>
        <n v="216787"/>
        <n v="5416"/>
        <n v="71967"/>
        <n v="85160"/>
        <n v="69564"/>
        <n v="209678"/>
        <n v="57430"/>
        <n v="44961"/>
        <n v="26318"/>
        <n v="207864"/>
        <n v="46387"/>
        <n v="55189"/>
        <n v="44517"/>
        <n v="20238"/>
        <n v="211477"/>
        <n v="51156"/>
        <n v="104421"/>
        <n v="52489"/>
        <n v="175221"/>
        <n v="67671"/>
        <n v="46814"/>
        <n v="39403"/>
        <n v="31787"/>
        <n v="187581"/>
        <n v="55837"/>
        <n v="45286"/>
        <n v="23846"/>
        <n v="89119"/>
        <n v="261795"/>
        <n v="24711"/>
        <n v="85906"/>
        <n v="41910"/>
        <n v="78783"/>
        <n v="179949"/>
        <n v="1757"/>
        <n v="71810"/>
        <n v="97823"/>
        <n v="100590"/>
      </sharedItems>
    </cacheField>
    <cacheField name="Expense" numFmtId="0">
      <sharedItems containsSemiMixedTypes="0" containsString="0" containsNumber="1" containsInteger="1" minValue="0" maxValue="196061" count="58">
        <n v="102043"/>
        <n v="23869"/>
        <n v="51069"/>
        <n v="2224"/>
        <n v="10419"/>
        <n v="121086"/>
        <n v="62861"/>
        <n v="38036"/>
        <n v="14915"/>
        <n v="68478"/>
        <n v="156257"/>
        <n v="18437"/>
        <n v="2230"/>
        <n v="10521"/>
        <n v="44886"/>
        <n v="126716"/>
        <n v="31914"/>
        <n v="45241"/>
        <n v="0"/>
        <n v="68513"/>
        <n v="111521"/>
        <n v="4792"/>
        <n v="38517"/>
        <n v="36134"/>
        <n v="52072"/>
        <n v="154809"/>
        <n v="37978"/>
        <n v="24266"/>
        <n v="15559"/>
        <n v="196061"/>
        <n v="37349"/>
        <n v="44270"/>
        <n v="33475"/>
        <n v="16622"/>
        <n v="115056"/>
        <n v="33492"/>
        <n v="87758"/>
        <n v="33638"/>
        <n v="163023"/>
        <n v="27770"/>
        <n v="19175"/>
        <n v="36069"/>
        <n v="16543"/>
        <n v="119830"/>
        <n v="44078"/>
        <n v="25920"/>
        <n v="13647"/>
        <n v="83724"/>
        <n v="122964"/>
        <n v="15981"/>
        <n v="36883"/>
        <n v="28028"/>
        <n v="35824"/>
        <n v="80675"/>
        <n v="960"/>
        <n v="46349"/>
        <n v="75942"/>
        <n v="58491"/>
      </sharedItems>
    </cacheField>
    <cacheField name="Marketing Spend" numFmtId="0">
      <sharedItems containsSemiMixedTypes="0" containsString="0" containsNumber="1" containsInteger="1" minValue="0" maxValue="51573" count="58">
        <n v="14260"/>
        <n v="1060"/>
        <n v="18311"/>
        <n v="92"/>
        <n v="797"/>
        <n v="33976"/>
        <n v="674"/>
        <n v="3953"/>
        <n v="219"/>
        <n v="2446"/>
        <n v="26878"/>
        <n v="201"/>
        <n v="949"/>
        <n v="542"/>
        <n v="2476"/>
        <n v="44447"/>
        <n v="1314"/>
        <n v="22276"/>
        <n v="0"/>
        <n v="4050"/>
        <n v="21828"/>
        <n v="277"/>
        <n v="16949"/>
        <n v="1156"/>
        <n v="1562"/>
        <n v="11042"/>
        <n v="1145"/>
        <n v="4561"/>
        <n v="318"/>
        <n v="51573"/>
        <n v="1372"/>
        <n v="15448"/>
        <n v="2661"/>
        <n v="268"/>
        <n v="41418"/>
        <n v="810"/>
        <n v="4775"/>
        <n v="2886"/>
        <n v="37794"/>
        <n v="595"/>
        <n v="2618"/>
        <n v="644"/>
        <n v="1025"/>
        <n v="13283"/>
        <n v="3885"/>
        <n v="5735"/>
        <n v="871"/>
        <n v="3521"/>
        <n v="46709"/>
        <n v="1430"/>
        <n v="15911"/>
        <n v="2525"/>
        <n v="3010"/>
        <n v="28832"/>
        <n v="75"/>
        <n v="16808"/>
        <n v="3287"/>
        <n v="4839"/>
      </sharedItems>
    </cacheField>
    <cacheField name="Tax" numFmtId="0">
      <sharedItems containsSemiMixedTypes="0" containsString="0" containsNumber="1" containsInteger="1" minValue="0" maxValue="23763" count="58">
        <n v="14695"/>
        <n v="1760"/>
        <n v="5327"/>
        <n v="68"/>
        <n v="1437"/>
        <n v="17562"/>
        <n v="4247"/>
        <n v="7817"/>
        <n v="2169"/>
        <n v="4706"/>
        <n v="9911"/>
        <n v="1786"/>
        <n v="222"/>
        <n v="1671"/>
        <n v="8617"/>
        <n v="9214"/>
        <n v="4293"/>
        <n v="3776"/>
        <n v="0"/>
        <n v="4329"/>
        <n v="18134"/>
        <n v="519"/>
        <n v="4579"/>
        <n v="8222"/>
        <n v="1762"/>
        <n v="17040"/>
        <n v="6048"/>
        <n v="4650"/>
        <n v="628"/>
        <n v="20837"/>
        <n v="1199"/>
        <n v="1824"/>
        <n v="4721"/>
        <n v="2077"/>
        <n v="23763"/>
        <n v="4042"/>
        <n v="3293"/>
        <n v="4181"/>
        <n v="14957"/>
        <n v="6645"/>
        <n v="4458"/>
        <n v="2986"/>
        <n v="842"/>
        <n v="8866"/>
        <n v="3257"/>
        <n v="989"/>
        <n v="1517"/>
        <n v="7253"/>
        <n v="12283"/>
        <n v="2892"/>
        <n v="7125"/>
        <n v="4381"/>
        <n v="6897"/>
        <n v="14045"/>
        <n v="80"/>
        <n v="2007"/>
        <n v="6348"/>
        <n v="3325"/>
      </sharedItems>
    </cacheField>
    <cacheField name="Profit" numFmtId="0">
      <sharedItems containsSemiMixedTypes="0" containsString="0" containsNumber="1" containsInteger="1" minValue="-9034" maxValue="126548" count="58">
        <n v="59512"/>
        <n v="7849"/>
        <n v="10"/>
        <n v="298"/>
        <n v="2758"/>
        <n v="75282"/>
        <n v="-474"/>
        <n v="24478"/>
        <n v="17500"/>
        <n v="1861"/>
        <n v="33369"/>
        <n v="1139"/>
        <n v="476"/>
        <n v="13033"/>
        <n v="55810"/>
        <n v="79265"/>
        <n v="17753"/>
        <n v="-580"/>
        <n v="0"/>
        <n v="7612"/>
        <n v="87132"/>
        <n v="105"/>
        <n v="28871"/>
        <n v="40804"/>
        <n v="15730"/>
        <n v="37829"/>
        <n v="13404"/>
        <n v="16045"/>
        <n v="10131"/>
        <n v="-9034"/>
        <n v="7839"/>
        <n v="9095"/>
        <n v="6321"/>
        <n v="1539"/>
        <n v="72658"/>
        <n v="13622"/>
        <n v="13370"/>
        <n v="14670"/>
        <n v="-2759"/>
        <n v="33256"/>
        <n v="23181"/>
        <n v="348"/>
        <n v="14402"/>
        <n v="58885"/>
        <n v="8502"/>
        <n v="18377"/>
        <n v="8682"/>
        <n v="-1858"/>
        <n v="126548"/>
        <n v="5838"/>
        <n v="41898"/>
        <n v="9501"/>
        <n v="36062"/>
        <n v="85229"/>
        <n v="717"/>
        <n v="23454"/>
        <n v="15533"/>
        <n v="38774"/>
      </sharedItems>
    </cacheField>
    <cacheField name="ROI" numFmtId="0">
      <sharedItems containsSemiMixedTypes="0" containsString="0" containsNumber="1" minValue="0" maxValue="1.44" count="46">
        <n v="0.73"/>
        <n v="0.4"/>
        <n v="0.1"/>
        <n v="0.16"/>
        <n v="0.77"/>
        <n v="0.06"/>
        <n v="0.85"/>
        <n v="1.32"/>
        <n v="0.28000000000000003"/>
        <n v="0.31"/>
        <n v="1.4"/>
        <n v="1.44"/>
        <n v="0.7"/>
        <n v="0.69"/>
        <n v="7.0000000000000007E-2"/>
        <n v="0"/>
        <n v="0.17"/>
        <n v="0.94"/>
        <n v="0.13"/>
        <n v="0.87"/>
        <n v="1.36"/>
        <n v="0.34"/>
        <n v="0.35"/>
        <n v="0.51"/>
        <n v="0.24"/>
        <n v="0.25"/>
        <n v="0.33"/>
        <n v="0.22"/>
        <n v="0.84"/>
        <n v="0.53"/>
        <n v="0.19"/>
        <n v="0.56000000000000005"/>
        <n v="0.09"/>
        <n v="0.92"/>
        <n v="0.56999999999999995"/>
        <n v="0.27"/>
        <n v="0.75"/>
        <n v="1.1299999999999999"/>
        <n v="0.55000000000000004"/>
        <n v="1.33"/>
        <n v="0.5"/>
        <n v="1.2"/>
        <n v="1.23"/>
        <n v="0.83"/>
        <n v="0.28999999999999998"/>
        <n v="0.72"/>
      </sharedItems>
    </cacheField>
  </cacheFields>
  <extLst>
    <ext xmlns:x14="http://schemas.microsoft.com/office/spreadsheetml/2009/9/main" uri="{725AE2AE-9491-48be-B2B4-4EB974FC3084}">
      <x14:pivotCacheDefinition pivotCacheId="15315695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08756365741" backgroundQuery="1" createdVersion="8" refreshedVersion="8" minRefreshableVersion="3" recordCount="60" xr:uid="{56ABA669-15DF-4C81-B8EF-FEF7898A28E3}">
  <cacheSource type="external" connectionId="3"/>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acheField>
    <cacheField name="Expense" numFmtId="0">
      <sharedItems containsSemiMixedTypes="0" containsString="0" containsNumber="1" containsInteger="1" minValue="0" maxValue="196061"/>
    </cacheField>
    <cacheField name="Marketing Spend" numFmtId="0">
      <sharedItems containsSemiMixedTypes="0" containsString="0" containsNumber="1" containsInteger="1" minValue="0" maxValue="51573" count="58">
        <n v="14260"/>
        <n v="1060"/>
        <n v="18311"/>
        <n v="92"/>
        <n v="797"/>
        <n v="33976"/>
        <n v="674"/>
        <n v="3953"/>
        <n v="219"/>
        <n v="2446"/>
        <n v="26878"/>
        <n v="201"/>
        <n v="949"/>
        <n v="542"/>
        <n v="2476"/>
        <n v="44447"/>
        <n v="1314"/>
        <n v="22276"/>
        <n v="0"/>
        <n v="4050"/>
        <n v="21828"/>
        <n v="277"/>
        <n v="16949"/>
        <n v="1156"/>
        <n v="1562"/>
        <n v="11042"/>
        <n v="1145"/>
        <n v="4561"/>
        <n v="318"/>
        <n v="51573"/>
        <n v="1372"/>
        <n v="15448"/>
        <n v="2661"/>
        <n v="268"/>
        <n v="41418"/>
        <n v="810"/>
        <n v="4775"/>
        <n v="2886"/>
        <n v="37794"/>
        <n v="595"/>
        <n v="2618"/>
        <n v="644"/>
        <n v="1025"/>
        <n v="13283"/>
        <n v="3885"/>
        <n v="5735"/>
        <n v="871"/>
        <n v="3521"/>
        <n v="46709"/>
        <n v="1430"/>
        <n v="15911"/>
        <n v="2525"/>
        <n v="3010"/>
        <n v="28832"/>
        <n v="75"/>
        <n v="16808"/>
        <n v="3287"/>
        <n v="4839"/>
      </sharedItems>
    </cacheField>
    <cacheField name="Tax" numFmtId="0">
      <sharedItems containsSemiMixedTypes="0" containsString="0" containsNumber="1" containsInteger="1" minValue="0" maxValue="23763"/>
    </cacheField>
    <cacheField name="Profit" numFmtId="0">
      <sharedItems containsSemiMixedTypes="0" containsString="0" containsNumber="1" containsInteger="1" minValue="-9034" maxValue="126548"/>
    </cacheField>
    <cacheField name="ROI" numFmtId="0">
      <sharedItems containsSemiMixedTypes="0" containsString="0" containsNumber="1" minValue="0" maxValue="1.44" count="46">
        <n v="0.73"/>
        <n v="0.4"/>
        <n v="0.1"/>
        <n v="0.16"/>
        <n v="0.77"/>
        <n v="0.06"/>
        <n v="0.85"/>
        <n v="1.32"/>
        <n v="0.28000000000000003"/>
        <n v="0.31"/>
        <n v="1.4"/>
        <n v="1.44"/>
        <n v="0.7"/>
        <n v="0.69"/>
        <n v="7.0000000000000007E-2"/>
        <n v="0"/>
        <n v="0.17"/>
        <n v="0.94"/>
        <n v="0.13"/>
        <n v="0.87"/>
        <n v="1.36"/>
        <n v="0.34"/>
        <n v="0.35"/>
        <n v="0.51"/>
        <n v="0.24"/>
        <n v="0.25"/>
        <n v="0.33"/>
        <n v="0.22"/>
        <n v="0.84"/>
        <n v="0.53"/>
        <n v="0.19"/>
        <n v="0.56000000000000005"/>
        <n v="0.09"/>
        <n v="0.92"/>
        <n v="0.56999999999999995"/>
        <n v="0.27"/>
        <n v="0.75"/>
        <n v="1.1299999999999999"/>
        <n v="0.55000000000000004"/>
        <n v="1.33"/>
        <n v="0.5"/>
        <n v="1.2"/>
        <n v="1.23"/>
        <n v="0.83"/>
        <n v="0.28999999999999998"/>
        <n v="0.72"/>
      </sharedItems>
    </cacheField>
  </cacheFields>
  <extLst>
    <ext xmlns:x14="http://schemas.microsoft.com/office/spreadsheetml/2009/9/main" uri="{725AE2AE-9491-48be-B2B4-4EB974FC3084}">
      <x14:pivotCacheDefinition pivotCacheId="49668744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09119444444" backgroundQuery="1" createdVersion="8" refreshedVersion="8" minRefreshableVersion="3" recordCount="60" xr:uid="{DAC60B4B-33D3-4449-A218-4D67FE8FC8D4}">
  <cacheSource type="external" connectionId="4"/>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acheField>
    <cacheField name="Expense" numFmtId="0">
      <sharedItems containsSemiMixedTypes="0" containsString="0" containsNumber="1" containsInteger="1" minValue="0" maxValue="196061"/>
    </cacheField>
    <cacheField name="Marketing Spend" numFmtId="0">
      <sharedItems containsSemiMixedTypes="0" containsString="0" containsNumber="1" containsInteger="1" minValue="0" maxValue="51573"/>
    </cacheField>
    <cacheField name="Tax" numFmtId="0">
      <sharedItems containsSemiMixedTypes="0" containsString="0" containsNumber="1" containsInteger="1" minValue="0" maxValue="23763"/>
    </cacheField>
    <cacheField name="Profit" numFmtId="0">
      <sharedItems containsSemiMixedTypes="0" containsString="0" containsNumber="1" containsInteger="1" minValue="-9034" maxValue="126548"/>
    </cacheField>
    <cacheField name="ROI" numFmtId="0">
      <sharedItems containsSemiMixedTypes="0" containsString="0" containsNumber="1" minValue="0" maxValue="1.4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09497453703" backgroundQuery="1" createdVersion="8" refreshedVersion="8" minRefreshableVersion="3" recordCount="60" xr:uid="{81177DD9-94C4-4BBD-8F87-F5A59A9782F3}">
  <cacheSource type="external" connectionId="5"/>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acheField>
    <cacheField name="Expense" numFmtId="0">
      <sharedItems containsSemiMixedTypes="0" containsString="0" containsNumber="1" containsInteger="1" minValue="0" maxValue="196061"/>
    </cacheField>
    <cacheField name="Marketing Spend" numFmtId="0">
      <sharedItems containsSemiMixedTypes="0" containsString="0" containsNumber="1" containsInteger="1" minValue="0" maxValue="51573"/>
    </cacheField>
    <cacheField name="Tax" numFmtId="0">
      <sharedItems containsSemiMixedTypes="0" containsString="0" containsNumber="1" containsInteger="1" minValue="0" maxValue="23763"/>
    </cacheField>
    <cacheField name="Profit" numFmtId="0">
      <sharedItems containsSemiMixedTypes="0" containsString="0" containsNumber="1" containsInteger="1" minValue="-9034" maxValue="126548"/>
    </cacheField>
    <cacheField name="ROI" numFmtId="0">
      <sharedItems containsSemiMixedTypes="0" containsString="0" containsNumber="1" minValue="0" maxValue="1.4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09821064818" backgroundQuery="1" createdVersion="8" refreshedVersion="8" minRefreshableVersion="3" recordCount="60" xr:uid="{E7D4CEE3-0A3F-49D4-BD30-38B218E44502}">
  <cacheSource type="external" connectionId="6"/>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acheField>
    <cacheField name="Expense" numFmtId="0">
      <sharedItems containsSemiMixedTypes="0" containsString="0" containsNumber="1" containsInteger="1" minValue="0" maxValue="196061"/>
    </cacheField>
    <cacheField name="Marketing Spend" numFmtId="0">
      <sharedItems containsSemiMixedTypes="0" containsString="0" containsNumber="1" containsInteger="1" minValue="0" maxValue="51573"/>
    </cacheField>
    <cacheField name="Tax" numFmtId="0">
      <sharedItems containsSemiMixedTypes="0" containsString="0" containsNumber="1" containsInteger="1" minValue="0" maxValue="23763"/>
    </cacheField>
    <cacheField name="Profit" numFmtId="0">
      <sharedItems containsSemiMixedTypes="0" containsString="0" containsNumber="1" containsInteger="1" minValue="-9034" maxValue="126548"/>
    </cacheField>
    <cacheField name="ROI" numFmtId="0">
      <sharedItems containsSemiMixedTypes="0" containsString="0" containsNumber="1" minValue="0" maxValue="1.4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103599537" backgroundQuery="1" createdVersion="8" refreshedVersion="8" minRefreshableVersion="3" recordCount="60" xr:uid="{B261ED0E-E484-4B68-9A75-B1DF70E8CA0C}">
  <cacheSource type="external" connectionId="7"/>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acheField>
    <cacheField name="Expense" numFmtId="0">
      <sharedItems containsSemiMixedTypes="0" containsString="0" containsNumber="1" containsInteger="1" minValue="0" maxValue="196061"/>
    </cacheField>
    <cacheField name="Marketing Spend" numFmtId="0">
      <sharedItems containsSemiMixedTypes="0" containsString="0" containsNumber="1" containsInteger="1" minValue="0" maxValue="51573"/>
    </cacheField>
    <cacheField name="Tax" numFmtId="0">
      <sharedItems containsSemiMixedTypes="0" containsString="0" containsNumber="1" containsInteger="1" minValue="0" maxValue="23763"/>
    </cacheField>
    <cacheField name="Profit" numFmtId="0">
      <sharedItems containsSemiMixedTypes="0" containsString="0" containsNumber="1" containsInteger="1" minValue="-9034" maxValue="126548"/>
    </cacheField>
    <cacheField name="ROI" numFmtId="0">
      <sharedItems containsSemiMixedTypes="0" containsString="0" containsNumber="1" minValue="0" maxValue="1.44"/>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710870717594" backgroundQuery="1" createdVersion="8" refreshedVersion="8" minRefreshableVersion="3" recordCount="60" xr:uid="{8C342A3A-6154-4BE5-94A2-E2FC815F49B7}">
  <cacheSource type="external" connectionId="8"/>
  <cacheFields count="8">
    <cacheField name="Month" numFmtId="0">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Department" numFmtId="0">
      <sharedItems count="5">
        <s v="Sales"/>
        <s v="HR"/>
        <s v="Marketing"/>
        <s v="Logistics"/>
        <s v="Operations"/>
      </sharedItems>
    </cacheField>
    <cacheField name="Revenue" numFmtId="0">
      <sharedItems containsSemiMixedTypes="0" containsString="0" containsNumber="1" containsInteger="1" minValue="0" maxValue="261795"/>
    </cacheField>
    <cacheField name="Expense" numFmtId="0">
      <sharedItems containsSemiMixedTypes="0" containsString="0" containsNumber="1" containsInteger="1" minValue="0" maxValue="196061"/>
    </cacheField>
    <cacheField name="Marketing Spend" numFmtId="0">
      <sharedItems containsSemiMixedTypes="0" containsString="0" containsNumber="1" containsInteger="1" minValue="0" maxValue="51573"/>
    </cacheField>
    <cacheField name="Tax" numFmtId="0">
      <sharedItems containsSemiMixedTypes="0" containsString="0" containsNumber="1" containsInteger="1" minValue="0" maxValue="23763"/>
    </cacheField>
    <cacheField name="Profit" numFmtId="0">
      <sharedItems containsSemiMixedTypes="0" containsString="0" containsNumber="1" containsInteger="1" minValue="-9034" maxValue="126548"/>
    </cacheField>
    <cacheField name="ROI" numFmtId="0">
      <sharedItems containsSemiMixedTypes="0" containsString="0" containsNumber="1" minValue="0" maxValue="1.4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x v="0"/>
    <x v="0"/>
    <x v="0"/>
  </r>
  <r>
    <x v="0"/>
    <x v="1"/>
    <x v="1"/>
    <x v="1"/>
    <x v="1"/>
    <x v="1"/>
    <x v="1"/>
    <x v="1"/>
  </r>
  <r>
    <x v="0"/>
    <x v="2"/>
    <x v="2"/>
    <x v="2"/>
    <x v="2"/>
    <x v="2"/>
    <x v="2"/>
    <x v="2"/>
  </r>
  <r>
    <x v="0"/>
    <x v="3"/>
    <x v="3"/>
    <x v="3"/>
    <x v="3"/>
    <x v="3"/>
    <x v="3"/>
    <x v="3"/>
  </r>
  <r>
    <x v="0"/>
    <x v="4"/>
    <x v="4"/>
    <x v="4"/>
    <x v="4"/>
    <x v="4"/>
    <x v="4"/>
    <x v="1"/>
  </r>
  <r>
    <x v="1"/>
    <x v="0"/>
    <x v="5"/>
    <x v="5"/>
    <x v="5"/>
    <x v="5"/>
    <x v="5"/>
    <x v="4"/>
  </r>
  <r>
    <x v="1"/>
    <x v="1"/>
    <x v="6"/>
    <x v="6"/>
    <x v="6"/>
    <x v="6"/>
    <x v="6"/>
    <x v="5"/>
  </r>
  <r>
    <x v="1"/>
    <x v="2"/>
    <x v="7"/>
    <x v="7"/>
    <x v="7"/>
    <x v="7"/>
    <x v="7"/>
    <x v="6"/>
  </r>
  <r>
    <x v="1"/>
    <x v="3"/>
    <x v="8"/>
    <x v="8"/>
    <x v="8"/>
    <x v="8"/>
    <x v="8"/>
    <x v="7"/>
  </r>
  <r>
    <x v="1"/>
    <x v="4"/>
    <x v="9"/>
    <x v="9"/>
    <x v="9"/>
    <x v="9"/>
    <x v="9"/>
    <x v="2"/>
  </r>
  <r>
    <x v="2"/>
    <x v="0"/>
    <x v="10"/>
    <x v="10"/>
    <x v="10"/>
    <x v="10"/>
    <x v="10"/>
    <x v="8"/>
  </r>
  <r>
    <x v="2"/>
    <x v="1"/>
    <x v="11"/>
    <x v="11"/>
    <x v="11"/>
    <x v="11"/>
    <x v="11"/>
    <x v="3"/>
  </r>
  <r>
    <x v="2"/>
    <x v="2"/>
    <x v="12"/>
    <x v="12"/>
    <x v="12"/>
    <x v="12"/>
    <x v="12"/>
    <x v="9"/>
  </r>
  <r>
    <x v="2"/>
    <x v="3"/>
    <x v="13"/>
    <x v="13"/>
    <x v="13"/>
    <x v="13"/>
    <x v="13"/>
    <x v="10"/>
  </r>
  <r>
    <x v="2"/>
    <x v="4"/>
    <x v="14"/>
    <x v="14"/>
    <x v="14"/>
    <x v="14"/>
    <x v="14"/>
    <x v="11"/>
  </r>
  <r>
    <x v="3"/>
    <x v="0"/>
    <x v="15"/>
    <x v="15"/>
    <x v="15"/>
    <x v="15"/>
    <x v="15"/>
    <x v="12"/>
  </r>
  <r>
    <x v="3"/>
    <x v="1"/>
    <x v="16"/>
    <x v="16"/>
    <x v="16"/>
    <x v="16"/>
    <x v="16"/>
    <x v="13"/>
  </r>
  <r>
    <x v="3"/>
    <x v="2"/>
    <x v="17"/>
    <x v="17"/>
    <x v="17"/>
    <x v="17"/>
    <x v="17"/>
    <x v="14"/>
  </r>
  <r>
    <x v="3"/>
    <x v="3"/>
    <x v="18"/>
    <x v="18"/>
    <x v="18"/>
    <x v="18"/>
    <x v="18"/>
    <x v="15"/>
  </r>
  <r>
    <x v="3"/>
    <x v="4"/>
    <x v="19"/>
    <x v="19"/>
    <x v="19"/>
    <x v="19"/>
    <x v="19"/>
    <x v="16"/>
  </r>
  <r>
    <x v="4"/>
    <x v="0"/>
    <x v="20"/>
    <x v="20"/>
    <x v="20"/>
    <x v="20"/>
    <x v="20"/>
    <x v="17"/>
  </r>
  <r>
    <x v="4"/>
    <x v="1"/>
    <x v="21"/>
    <x v="21"/>
    <x v="21"/>
    <x v="21"/>
    <x v="21"/>
    <x v="18"/>
  </r>
  <r>
    <x v="4"/>
    <x v="2"/>
    <x v="22"/>
    <x v="22"/>
    <x v="22"/>
    <x v="22"/>
    <x v="22"/>
    <x v="19"/>
  </r>
  <r>
    <x v="4"/>
    <x v="3"/>
    <x v="23"/>
    <x v="23"/>
    <x v="23"/>
    <x v="23"/>
    <x v="23"/>
    <x v="20"/>
  </r>
  <r>
    <x v="4"/>
    <x v="4"/>
    <x v="24"/>
    <x v="24"/>
    <x v="24"/>
    <x v="24"/>
    <x v="24"/>
    <x v="21"/>
  </r>
  <r>
    <x v="5"/>
    <x v="0"/>
    <x v="25"/>
    <x v="25"/>
    <x v="25"/>
    <x v="25"/>
    <x v="25"/>
    <x v="22"/>
  </r>
  <r>
    <x v="5"/>
    <x v="1"/>
    <x v="26"/>
    <x v="26"/>
    <x v="26"/>
    <x v="26"/>
    <x v="26"/>
    <x v="23"/>
  </r>
  <r>
    <x v="5"/>
    <x v="2"/>
    <x v="27"/>
    <x v="27"/>
    <x v="27"/>
    <x v="27"/>
    <x v="27"/>
    <x v="6"/>
  </r>
  <r>
    <x v="5"/>
    <x v="3"/>
    <x v="28"/>
    <x v="28"/>
    <x v="28"/>
    <x v="28"/>
    <x v="28"/>
    <x v="13"/>
  </r>
  <r>
    <x v="5"/>
    <x v="4"/>
    <x v="18"/>
    <x v="18"/>
    <x v="18"/>
    <x v="18"/>
    <x v="18"/>
    <x v="15"/>
  </r>
  <r>
    <x v="6"/>
    <x v="0"/>
    <x v="29"/>
    <x v="29"/>
    <x v="29"/>
    <x v="29"/>
    <x v="29"/>
    <x v="5"/>
  </r>
  <r>
    <x v="6"/>
    <x v="1"/>
    <x v="30"/>
    <x v="30"/>
    <x v="30"/>
    <x v="30"/>
    <x v="30"/>
    <x v="24"/>
  </r>
  <r>
    <x v="6"/>
    <x v="2"/>
    <x v="31"/>
    <x v="31"/>
    <x v="31"/>
    <x v="31"/>
    <x v="31"/>
    <x v="25"/>
  </r>
  <r>
    <x v="6"/>
    <x v="3"/>
    <x v="32"/>
    <x v="32"/>
    <x v="32"/>
    <x v="32"/>
    <x v="32"/>
    <x v="26"/>
  </r>
  <r>
    <x v="6"/>
    <x v="4"/>
    <x v="33"/>
    <x v="33"/>
    <x v="33"/>
    <x v="33"/>
    <x v="33"/>
    <x v="27"/>
  </r>
  <r>
    <x v="7"/>
    <x v="0"/>
    <x v="34"/>
    <x v="34"/>
    <x v="34"/>
    <x v="34"/>
    <x v="34"/>
    <x v="28"/>
  </r>
  <r>
    <x v="7"/>
    <x v="1"/>
    <x v="35"/>
    <x v="35"/>
    <x v="35"/>
    <x v="35"/>
    <x v="35"/>
    <x v="29"/>
  </r>
  <r>
    <x v="7"/>
    <x v="2"/>
    <x v="18"/>
    <x v="18"/>
    <x v="18"/>
    <x v="18"/>
    <x v="18"/>
    <x v="15"/>
  </r>
  <r>
    <x v="7"/>
    <x v="3"/>
    <x v="36"/>
    <x v="36"/>
    <x v="36"/>
    <x v="36"/>
    <x v="36"/>
    <x v="30"/>
  </r>
  <r>
    <x v="7"/>
    <x v="4"/>
    <x v="37"/>
    <x v="37"/>
    <x v="37"/>
    <x v="37"/>
    <x v="37"/>
    <x v="31"/>
  </r>
  <r>
    <x v="8"/>
    <x v="0"/>
    <x v="38"/>
    <x v="38"/>
    <x v="38"/>
    <x v="38"/>
    <x v="38"/>
    <x v="14"/>
  </r>
  <r>
    <x v="8"/>
    <x v="1"/>
    <x v="39"/>
    <x v="39"/>
    <x v="39"/>
    <x v="39"/>
    <x v="39"/>
    <x v="11"/>
  </r>
  <r>
    <x v="8"/>
    <x v="2"/>
    <x v="40"/>
    <x v="40"/>
    <x v="40"/>
    <x v="40"/>
    <x v="40"/>
    <x v="11"/>
  </r>
  <r>
    <x v="8"/>
    <x v="3"/>
    <x v="41"/>
    <x v="41"/>
    <x v="41"/>
    <x v="41"/>
    <x v="41"/>
    <x v="32"/>
  </r>
  <r>
    <x v="8"/>
    <x v="4"/>
    <x v="42"/>
    <x v="42"/>
    <x v="42"/>
    <x v="42"/>
    <x v="42"/>
    <x v="33"/>
  </r>
  <r>
    <x v="9"/>
    <x v="0"/>
    <x v="43"/>
    <x v="43"/>
    <x v="43"/>
    <x v="43"/>
    <x v="43"/>
    <x v="34"/>
  </r>
  <r>
    <x v="9"/>
    <x v="1"/>
    <x v="44"/>
    <x v="44"/>
    <x v="44"/>
    <x v="44"/>
    <x v="44"/>
    <x v="35"/>
  </r>
  <r>
    <x v="9"/>
    <x v="2"/>
    <x v="45"/>
    <x v="45"/>
    <x v="45"/>
    <x v="45"/>
    <x v="45"/>
    <x v="36"/>
  </r>
  <r>
    <x v="9"/>
    <x v="3"/>
    <x v="46"/>
    <x v="46"/>
    <x v="46"/>
    <x v="46"/>
    <x v="46"/>
    <x v="36"/>
  </r>
  <r>
    <x v="9"/>
    <x v="4"/>
    <x v="47"/>
    <x v="47"/>
    <x v="47"/>
    <x v="47"/>
    <x v="47"/>
    <x v="5"/>
  </r>
  <r>
    <x v="10"/>
    <x v="0"/>
    <x v="48"/>
    <x v="48"/>
    <x v="48"/>
    <x v="48"/>
    <x v="48"/>
    <x v="37"/>
  </r>
  <r>
    <x v="10"/>
    <x v="1"/>
    <x v="49"/>
    <x v="49"/>
    <x v="49"/>
    <x v="49"/>
    <x v="49"/>
    <x v="38"/>
  </r>
  <r>
    <x v="10"/>
    <x v="2"/>
    <x v="50"/>
    <x v="50"/>
    <x v="50"/>
    <x v="50"/>
    <x v="50"/>
    <x v="39"/>
  </r>
  <r>
    <x v="10"/>
    <x v="3"/>
    <x v="51"/>
    <x v="51"/>
    <x v="51"/>
    <x v="51"/>
    <x v="51"/>
    <x v="40"/>
  </r>
  <r>
    <x v="10"/>
    <x v="4"/>
    <x v="52"/>
    <x v="52"/>
    <x v="52"/>
    <x v="52"/>
    <x v="52"/>
    <x v="41"/>
  </r>
  <r>
    <x v="11"/>
    <x v="0"/>
    <x v="53"/>
    <x v="53"/>
    <x v="53"/>
    <x v="53"/>
    <x v="53"/>
    <x v="42"/>
  </r>
  <r>
    <x v="11"/>
    <x v="1"/>
    <x v="54"/>
    <x v="54"/>
    <x v="54"/>
    <x v="54"/>
    <x v="54"/>
    <x v="43"/>
  </r>
  <r>
    <x v="11"/>
    <x v="2"/>
    <x v="55"/>
    <x v="55"/>
    <x v="55"/>
    <x v="55"/>
    <x v="55"/>
    <x v="38"/>
  </r>
  <r>
    <x v="11"/>
    <x v="3"/>
    <x v="56"/>
    <x v="56"/>
    <x v="56"/>
    <x v="56"/>
    <x v="56"/>
    <x v="44"/>
  </r>
  <r>
    <x v="11"/>
    <x v="4"/>
    <x v="57"/>
    <x v="57"/>
    <x v="57"/>
    <x v="57"/>
    <x v="57"/>
    <x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x v="0"/>
    <x v="0"/>
    <x v="0"/>
  </r>
  <r>
    <x v="0"/>
    <x v="1"/>
    <x v="1"/>
    <x v="1"/>
    <x v="1"/>
    <x v="1"/>
    <x v="1"/>
    <x v="1"/>
  </r>
  <r>
    <x v="0"/>
    <x v="2"/>
    <x v="2"/>
    <x v="2"/>
    <x v="2"/>
    <x v="2"/>
    <x v="2"/>
    <x v="2"/>
  </r>
  <r>
    <x v="0"/>
    <x v="3"/>
    <x v="3"/>
    <x v="3"/>
    <x v="3"/>
    <x v="3"/>
    <x v="3"/>
    <x v="3"/>
  </r>
  <r>
    <x v="0"/>
    <x v="4"/>
    <x v="4"/>
    <x v="4"/>
    <x v="4"/>
    <x v="4"/>
    <x v="4"/>
    <x v="1"/>
  </r>
  <r>
    <x v="1"/>
    <x v="0"/>
    <x v="5"/>
    <x v="5"/>
    <x v="5"/>
    <x v="5"/>
    <x v="5"/>
    <x v="4"/>
  </r>
  <r>
    <x v="1"/>
    <x v="1"/>
    <x v="6"/>
    <x v="6"/>
    <x v="6"/>
    <x v="6"/>
    <x v="6"/>
    <x v="5"/>
  </r>
  <r>
    <x v="1"/>
    <x v="2"/>
    <x v="7"/>
    <x v="7"/>
    <x v="7"/>
    <x v="7"/>
    <x v="7"/>
    <x v="6"/>
  </r>
  <r>
    <x v="1"/>
    <x v="3"/>
    <x v="8"/>
    <x v="8"/>
    <x v="8"/>
    <x v="8"/>
    <x v="8"/>
    <x v="7"/>
  </r>
  <r>
    <x v="1"/>
    <x v="4"/>
    <x v="9"/>
    <x v="9"/>
    <x v="9"/>
    <x v="9"/>
    <x v="9"/>
    <x v="2"/>
  </r>
  <r>
    <x v="2"/>
    <x v="0"/>
    <x v="10"/>
    <x v="10"/>
    <x v="10"/>
    <x v="10"/>
    <x v="10"/>
    <x v="8"/>
  </r>
  <r>
    <x v="2"/>
    <x v="1"/>
    <x v="11"/>
    <x v="11"/>
    <x v="11"/>
    <x v="11"/>
    <x v="11"/>
    <x v="3"/>
  </r>
  <r>
    <x v="2"/>
    <x v="2"/>
    <x v="12"/>
    <x v="12"/>
    <x v="12"/>
    <x v="12"/>
    <x v="12"/>
    <x v="9"/>
  </r>
  <r>
    <x v="2"/>
    <x v="3"/>
    <x v="13"/>
    <x v="13"/>
    <x v="13"/>
    <x v="13"/>
    <x v="13"/>
    <x v="10"/>
  </r>
  <r>
    <x v="2"/>
    <x v="4"/>
    <x v="14"/>
    <x v="14"/>
    <x v="14"/>
    <x v="14"/>
    <x v="14"/>
    <x v="11"/>
  </r>
  <r>
    <x v="3"/>
    <x v="0"/>
    <x v="15"/>
    <x v="15"/>
    <x v="15"/>
    <x v="15"/>
    <x v="15"/>
    <x v="12"/>
  </r>
  <r>
    <x v="3"/>
    <x v="1"/>
    <x v="16"/>
    <x v="16"/>
    <x v="16"/>
    <x v="16"/>
    <x v="16"/>
    <x v="13"/>
  </r>
  <r>
    <x v="3"/>
    <x v="2"/>
    <x v="17"/>
    <x v="17"/>
    <x v="17"/>
    <x v="17"/>
    <x v="17"/>
    <x v="14"/>
  </r>
  <r>
    <x v="3"/>
    <x v="3"/>
    <x v="18"/>
    <x v="18"/>
    <x v="18"/>
    <x v="18"/>
    <x v="18"/>
    <x v="15"/>
  </r>
  <r>
    <x v="3"/>
    <x v="4"/>
    <x v="19"/>
    <x v="19"/>
    <x v="19"/>
    <x v="19"/>
    <x v="19"/>
    <x v="16"/>
  </r>
  <r>
    <x v="4"/>
    <x v="0"/>
    <x v="20"/>
    <x v="20"/>
    <x v="20"/>
    <x v="20"/>
    <x v="20"/>
    <x v="17"/>
  </r>
  <r>
    <x v="4"/>
    <x v="1"/>
    <x v="21"/>
    <x v="21"/>
    <x v="21"/>
    <x v="21"/>
    <x v="21"/>
    <x v="18"/>
  </r>
  <r>
    <x v="4"/>
    <x v="2"/>
    <x v="22"/>
    <x v="22"/>
    <x v="22"/>
    <x v="22"/>
    <x v="22"/>
    <x v="19"/>
  </r>
  <r>
    <x v="4"/>
    <x v="3"/>
    <x v="23"/>
    <x v="23"/>
    <x v="23"/>
    <x v="23"/>
    <x v="23"/>
    <x v="20"/>
  </r>
  <r>
    <x v="4"/>
    <x v="4"/>
    <x v="24"/>
    <x v="24"/>
    <x v="24"/>
    <x v="24"/>
    <x v="24"/>
    <x v="21"/>
  </r>
  <r>
    <x v="5"/>
    <x v="0"/>
    <x v="25"/>
    <x v="25"/>
    <x v="25"/>
    <x v="25"/>
    <x v="25"/>
    <x v="22"/>
  </r>
  <r>
    <x v="5"/>
    <x v="1"/>
    <x v="26"/>
    <x v="26"/>
    <x v="26"/>
    <x v="26"/>
    <x v="26"/>
    <x v="23"/>
  </r>
  <r>
    <x v="5"/>
    <x v="2"/>
    <x v="27"/>
    <x v="27"/>
    <x v="27"/>
    <x v="27"/>
    <x v="27"/>
    <x v="6"/>
  </r>
  <r>
    <x v="5"/>
    <x v="3"/>
    <x v="28"/>
    <x v="28"/>
    <x v="28"/>
    <x v="28"/>
    <x v="28"/>
    <x v="13"/>
  </r>
  <r>
    <x v="5"/>
    <x v="4"/>
    <x v="18"/>
    <x v="18"/>
    <x v="18"/>
    <x v="18"/>
    <x v="18"/>
    <x v="15"/>
  </r>
  <r>
    <x v="6"/>
    <x v="0"/>
    <x v="29"/>
    <x v="29"/>
    <x v="29"/>
    <x v="29"/>
    <x v="29"/>
    <x v="5"/>
  </r>
  <r>
    <x v="6"/>
    <x v="1"/>
    <x v="30"/>
    <x v="30"/>
    <x v="30"/>
    <x v="30"/>
    <x v="30"/>
    <x v="24"/>
  </r>
  <r>
    <x v="6"/>
    <x v="2"/>
    <x v="31"/>
    <x v="31"/>
    <x v="31"/>
    <x v="31"/>
    <x v="31"/>
    <x v="25"/>
  </r>
  <r>
    <x v="6"/>
    <x v="3"/>
    <x v="32"/>
    <x v="32"/>
    <x v="32"/>
    <x v="32"/>
    <x v="32"/>
    <x v="26"/>
  </r>
  <r>
    <x v="6"/>
    <x v="4"/>
    <x v="33"/>
    <x v="33"/>
    <x v="33"/>
    <x v="33"/>
    <x v="33"/>
    <x v="27"/>
  </r>
  <r>
    <x v="7"/>
    <x v="0"/>
    <x v="34"/>
    <x v="34"/>
    <x v="34"/>
    <x v="34"/>
    <x v="34"/>
    <x v="28"/>
  </r>
  <r>
    <x v="7"/>
    <x v="1"/>
    <x v="35"/>
    <x v="35"/>
    <x v="35"/>
    <x v="35"/>
    <x v="35"/>
    <x v="29"/>
  </r>
  <r>
    <x v="7"/>
    <x v="2"/>
    <x v="18"/>
    <x v="18"/>
    <x v="18"/>
    <x v="18"/>
    <x v="18"/>
    <x v="15"/>
  </r>
  <r>
    <x v="7"/>
    <x v="3"/>
    <x v="36"/>
    <x v="36"/>
    <x v="36"/>
    <x v="36"/>
    <x v="36"/>
    <x v="30"/>
  </r>
  <r>
    <x v="7"/>
    <x v="4"/>
    <x v="37"/>
    <x v="37"/>
    <x v="37"/>
    <x v="37"/>
    <x v="37"/>
    <x v="31"/>
  </r>
  <r>
    <x v="8"/>
    <x v="0"/>
    <x v="38"/>
    <x v="38"/>
    <x v="38"/>
    <x v="38"/>
    <x v="38"/>
    <x v="14"/>
  </r>
  <r>
    <x v="8"/>
    <x v="1"/>
    <x v="39"/>
    <x v="39"/>
    <x v="39"/>
    <x v="39"/>
    <x v="39"/>
    <x v="11"/>
  </r>
  <r>
    <x v="8"/>
    <x v="2"/>
    <x v="40"/>
    <x v="40"/>
    <x v="40"/>
    <x v="40"/>
    <x v="40"/>
    <x v="11"/>
  </r>
  <r>
    <x v="8"/>
    <x v="3"/>
    <x v="41"/>
    <x v="41"/>
    <x v="41"/>
    <x v="41"/>
    <x v="41"/>
    <x v="32"/>
  </r>
  <r>
    <x v="8"/>
    <x v="4"/>
    <x v="42"/>
    <x v="42"/>
    <x v="42"/>
    <x v="42"/>
    <x v="42"/>
    <x v="33"/>
  </r>
  <r>
    <x v="9"/>
    <x v="0"/>
    <x v="43"/>
    <x v="43"/>
    <x v="43"/>
    <x v="43"/>
    <x v="43"/>
    <x v="34"/>
  </r>
  <r>
    <x v="9"/>
    <x v="1"/>
    <x v="44"/>
    <x v="44"/>
    <x v="44"/>
    <x v="44"/>
    <x v="44"/>
    <x v="35"/>
  </r>
  <r>
    <x v="9"/>
    <x v="2"/>
    <x v="45"/>
    <x v="45"/>
    <x v="45"/>
    <x v="45"/>
    <x v="45"/>
    <x v="36"/>
  </r>
  <r>
    <x v="9"/>
    <x v="3"/>
    <x v="46"/>
    <x v="46"/>
    <x v="46"/>
    <x v="46"/>
    <x v="46"/>
    <x v="36"/>
  </r>
  <r>
    <x v="9"/>
    <x v="4"/>
    <x v="47"/>
    <x v="47"/>
    <x v="47"/>
    <x v="47"/>
    <x v="47"/>
    <x v="5"/>
  </r>
  <r>
    <x v="10"/>
    <x v="0"/>
    <x v="48"/>
    <x v="48"/>
    <x v="48"/>
    <x v="48"/>
    <x v="48"/>
    <x v="37"/>
  </r>
  <r>
    <x v="10"/>
    <x v="1"/>
    <x v="49"/>
    <x v="49"/>
    <x v="49"/>
    <x v="49"/>
    <x v="49"/>
    <x v="38"/>
  </r>
  <r>
    <x v="10"/>
    <x v="2"/>
    <x v="50"/>
    <x v="50"/>
    <x v="50"/>
    <x v="50"/>
    <x v="50"/>
    <x v="39"/>
  </r>
  <r>
    <x v="10"/>
    <x v="3"/>
    <x v="51"/>
    <x v="51"/>
    <x v="51"/>
    <x v="51"/>
    <x v="51"/>
    <x v="40"/>
  </r>
  <r>
    <x v="10"/>
    <x v="4"/>
    <x v="52"/>
    <x v="52"/>
    <x v="52"/>
    <x v="52"/>
    <x v="52"/>
    <x v="41"/>
  </r>
  <r>
    <x v="11"/>
    <x v="0"/>
    <x v="53"/>
    <x v="53"/>
    <x v="53"/>
    <x v="53"/>
    <x v="53"/>
    <x v="42"/>
  </r>
  <r>
    <x v="11"/>
    <x v="1"/>
    <x v="54"/>
    <x v="54"/>
    <x v="54"/>
    <x v="54"/>
    <x v="54"/>
    <x v="43"/>
  </r>
  <r>
    <x v="11"/>
    <x v="2"/>
    <x v="55"/>
    <x v="55"/>
    <x v="55"/>
    <x v="55"/>
    <x v="55"/>
    <x v="38"/>
  </r>
  <r>
    <x v="11"/>
    <x v="3"/>
    <x v="56"/>
    <x v="56"/>
    <x v="56"/>
    <x v="56"/>
    <x v="56"/>
    <x v="44"/>
  </r>
  <r>
    <x v="11"/>
    <x v="4"/>
    <x v="57"/>
    <x v="57"/>
    <x v="57"/>
    <x v="57"/>
    <x v="57"/>
    <x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176250"/>
    <n v="102043"/>
    <x v="0"/>
    <n v="14695"/>
    <n v="59512"/>
    <x v="0"/>
  </r>
  <r>
    <x v="0"/>
    <x v="1"/>
    <n v="33478"/>
    <n v="23869"/>
    <x v="1"/>
    <n v="1760"/>
    <n v="7849"/>
    <x v="1"/>
  </r>
  <r>
    <x v="0"/>
    <x v="2"/>
    <n v="56406"/>
    <n v="51069"/>
    <x v="2"/>
    <n v="5327"/>
    <n v="10"/>
    <x v="2"/>
  </r>
  <r>
    <x v="0"/>
    <x v="3"/>
    <n v="2590"/>
    <n v="2224"/>
    <x v="3"/>
    <n v="68"/>
    <n v="298"/>
    <x v="3"/>
  </r>
  <r>
    <x v="0"/>
    <x v="4"/>
    <n v="14614"/>
    <n v="10419"/>
    <x v="4"/>
    <n v="1437"/>
    <n v="2758"/>
    <x v="1"/>
  </r>
  <r>
    <x v="1"/>
    <x v="0"/>
    <n v="213930"/>
    <n v="121086"/>
    <x v="5"/>
    <n v="17562"/>
    <n v="75282"/>
    <x v="4"/>
  </r>
  <r>
    <x v="1"/>
    <x v="1"/>
    <n v="66634"/>
    <n v="62861"/>
    <x v="6"/>
    <n v="4247"/>
    <n v="-474"/>
    <x v="5"/>
  </r>
  <r>
    <x v="1"/>
    <x v="2"/>
    <n v="70331"/>
    <n v="38036"/>
    <x v="7"/>
    <n v="7817"/>
    <n v="24478"/>
    <x v="6"/>
  </r>
  <r>
    <x v="1"/>
    <x v="3"/>
    <n v="34584"/>
    <n v="14915"/>
    <x v="8"/>
    <n v="2169"/>
    <n v="17500"/>
    <x v="7"/>
  </r>
  <r>
    <x v="1"/>
    <x v="4"/>
    <n v="75045"/>
    <n v="68478"/>
    <x v="9"/>
    <n v="4706"/>
    <n v="1861"/>
    <x v="2"/>
  </r>
  <r>
    <x v="2"/>
    <x v="0"/>
    <n v="199537"/>
    <n v="156257"/>
    <x v="10"/>
    <n v="9911"/>
    <n v="33369"/>
    <x v="8"/>
  </r>
  <r>
    <x v="2"/>
    <x v="1"/>
    <n v="21362"/>
    <n v="18437"/>
    <x v="11"/>
    <n v="1786"/>
    <n v="1139"/>
    <x v="3"/>
  </r>
  <r>
    <x v="2"/>
    <x v="2"/>
    <n v="2928"/>
    <n v="2230"/>
    <x v="12"/>
    <n v="222"/>
    <n v="476"/>
    <x v="9"/>
  </r>
  <r>
    <x v="2"/>
    <x v="3"/>
    <n v="25225"/>
    <n v="10521"/>
    <x v="13"/>
    <n v="1671"/>
    <n v="13033"/>
    <x v="10"/>
  </r>
  <r>
    <x v="2"/>
    <x v="4"/>
    <n v="109313"/>
    <n v="44886"/>
    <x v="14"/>
    <n v="8617"/>
    <n v="55810"/>
    <x v="11"/>
  </r>
  <r>
    <x v="3"/>
    <x v="0"/>
    <n v="215195"/>
    <n v="126716"/>
    <x v="15"/>
    <n v="9214"/>
    <n v="79265"/>
    <x v="12"/>
  </r>
  <r>
    <x v="3"/>
    <x v="1"/>
    <n v="53960"/>
    <n v="31914"/>
    <x v="16"/>
    <n v="4293"/>
    <n v="17753"/>
    <x v="13"/>
  </r>
  <r>
    <x v="3"/>
    <x v="2"/>
    <n v="48437"/>
    <n v="45241"/>
    <x v="17"/>
    <n v="3776"/>
    <n v="-580"/>
    <x v="14"/>
  </r>
  <r>
    <x v="3"/>
    <x v="3"/>
    <n v="0"/>
    <n v="0"/>
    <x v="18"/>
    <n v="0"/>
    <n v="0"/>
    <x v="15"/>
  </r>
  <r>
    <x v="3"/>
    <x v="4"/>
    <n v="80454"/>
    <n v="68513"/>
    <x v="19"/>
    <n v="4329"/>
    <n v="7612"/>
    <x v="16"/>
  </r>
  <r>
    <x v="4"/>
    <x v="0"/>
    <n v="216787"/>
    <n v="111521"/>
    <x v="20"/>
    <n v="18134"/>
    <n v="87132"/>
    <x v="17"/>
  </r>
  <r>
    <x v="4"/>
    <x v="1"/>
    <n v="5416"/>
    <n v="4792"/>
    <x v="21"/>
    <n v="519"/>
    <n v="105"/>
    <x v="18"/>
  </r>
  <r>
    <x v="4"/>
    <x v="2"/>
    <n v="71967"/>
    <n v="38517"/>
    <x v="22"/>
    <n v="4579"/>
    <n v="28871"/>
    <x v="19"/>
  </r>
  <r>
    <x v="4"/>
    <x v="3"/>
    <n v="85160"/>
    <n v="36134"/>
    <x v="23"/>
    <n v="8222"/>
    <n v="40804"/>
    <x v="20"/>
  </r>
  <r>
    <x v="4"/>
    <x v="4"/>
    <n v="69564"/>
    <n v="52072"/>
    <x v="24"/>
    <n v="1762"/>
    <n v="15730"/>
    <x v="21"/>
  </r>
  <r>
    <x v="5"/>
    <x v="0"/>
    <n v="209678"/>
    <n v="154809"/>
    <x v="25"/>
    <n v="17040"/>
    <n v="37829"/>
    <x v="22"/>
  </r>
  <r>
    <x v="5"/>
    <x v="1"/>
    <n v="57430"/>
    <n v="37978"/>
    <x v="26"/>
    <n v="6048"/>
    <n v="13404"/>
    <x v="23"/>
  </r>
  <r>
    <x v="5"/>
    <x v="2"/>
    <n v="44961"/>
    <n v="24266"/>
    <x v="27"/>
    <n v="4650"/>
    <n v="16045"/>
    <x v="6"/>
  </r>
  <r>
    <x v="5"/>
    <x v="3"/>
    <n v="26318"/>
    <n v="15559"/>
    <x v="28"/>
    <n v="628"/>
    <n v="10131"/>
    <x v="13"/>
  </r>
  <r>
    <x v="5"/>
    <x v="4"/>
    <n v="0"/>
    <n v="0"/>
    <x v="18"/>
    <n v="0"/>
    <n v="0"/>
    <x v="15"/>
  </r>
  <r>
    <x v="6"/>
    <x v="0"/>
    <n v="207864"/>
    <n v="196061"/>
    <x v="29"/>
    <n v="20837"/>
    <n v="-9034"/>
    <x v="5"/>
  </r>
  <r>
    <x v="6"/>
    <x v="1"/>
    <n v="46387"/>
    <n v="37349"/>
    <x v="30"/>
    <n v="1199"/>
    <n v="7839"/>
    <x v="24"/>
  </r>
  <r>
    <x v="6"/>
    <x v="2"/>
    <n v="55189"/>
    <n v="44270"/>
    <x v="31"/>
    <n v="1824"/>
    <n v="9095"/>
    <x v="25"/>
  </r>
  <r>
    <x v="6"/>
    <x v="3"/>
    <n v="44517"/>
    <n v="33475"/>
    <x v="32"/>
    <n v="4721"/>
    <n v="6321"/>
    <x v="26"/>
  </r>
  <r>
    <x v="6"/>
    <x v="4"/>
    <n v="20238"/>
    <n v="16622"/>
    <x v="33"/>
    <n v="2077"/>
    <n v="1539"/>
    <x v="27"/>
  </r>
  <r>
    <x v="7"/>
    <x v="0"/>
    <n v="211477"/>
    <n v="115056"/>
    <x v="34"/>
    <n v="23763"/>
    <n v="72658"/>
    <x v="28"/>
  </r>
  <r>
    <x v="7"/>
    <x v="1"/>
    <n v="51156"/>
    <n v="33492"/>
    <x v="35"/>
    <n v="4042"/>
    <n v="13622"/>
    <x v="29"/>
  </r>
  <r>
    <x v="7"/>
    <x v="2"/>
    <n v="0"/>
    <n v="0"/>
    <x v="18"/>
    <n v="0"/>
    <n v="0"/>
    <x v="15"/>
  </r>
  <r>
    <x v="7"/>
    <x v="3"/>
    <n v="104421"/>
    <n v="87758"/>
    <x v="36"/>
    <n v="3293"/>
    <n v="13370"/>
    <x v="30"/>
  </r>
  <r>
    <x v="7"/>
    <x v="4"/>
    <n v="52489"/>
    <n v="33638"/>
    <x v="37"/>
    <n v="4181"/>
    <n v="14670"/>
    <x v="31"/>
  </r>
  <r>
    <x v="8"/>
    <x v="0"/>
    <n v="175221"/>
    <n v="163023"/>
    <x v="38"/>
    <n v="14957"/>
    <n v="-2759"/>
    <x v="14"/>
  </r>
  <r>
    <x v="8"/>
    <x v="1"/>
    <n v="67671"/>
    <n v="27770"/>
    <x v="39"/>
    <n v="6645"/>
    <n v="33256"/>
    <x v="11"/>
  </r>
  <r>
    <x v="8"/>
    <x v="2"/>
    <n v="46814"/>
    <n v="19175"/>
    <x v="40"/>
    <n v="4458"/>
    <n v="23181"/>
    <x v="11"/>
  </r>
  <r>
    <x v="8"/>
    <x v="3"/>
    <n v="39403"/>
    <n v="36069"/>
    <x v="41"/>
    <n v="2986"/>
    <n v="348"/>
    <x v="32"/>
  </r>
  <r>
    <x v="8"/>
    <x v="4"/>
    <n v="31787"/>
    <n v="16543"/>
    <x v="42"/>
    <n v="842"/>
    <n v="14402"/>
    <x v="33"/>
  </r>
  <r>
    <x v="9"/>
    <x v="0"/>
    <n v="187581"/>
    <n v="119830"/>
    <x v="43"/>
    <n v="8866"/>
    <n v="58885"/>
    <x v="34"/>
  </r>
  <r>
    <x v="9"/>
    <x v="1"/>
    <n v="55837"/>
    <n v="44078"/>
    <x v="44"/>
    <n v="3257"/>
    <n v="8502"/>
    <x v="35"/>
  </r>
  <r>
    <x v="9"/>
    <x v="2"/>
    <n v="45286"/>
    <n v="25920"/>
    <x v="45"/>
    <n v="989"/>
    <n v="18377"/>
    <x v="36"/>
  </r>
  <r>
    <x v="9"/>
    <x v="3"/>
    <n v="23846"/>
    <n v="13647"/>
    <x v="46"/>
    <n v="1517"/>
    <n v="8682"/>
    <x v="36"/>
  </r>
  <r>
    <x v="9"/>
    <x v="4"/>
    <n v="89119"/>
    <n v="83724"/>
    <x v="47"/>
    <n v="7253"/>
    <n v="-1858"/>
    <x v="5"/>
  </r>
  <r>
    <x v="10"/>
    <x v="0"/>
    <n v="261795"/>
    <n v="122964"/>
    <x v="48"/>
    <n v="12283"/>
    <n v="126548"/>
    <x v="37"/>
  </r>
  <r>
    <x v="10"/>
    <x v="1"/>
    <n v="24711"/>
    <n v="15981"/>
    <x v="49"/>
    <n v="2892"/>
    <n v="5838"/>
    <x v="38"/>
  </r>
  <r>
    <x v="10"/>
    <x v="2"/>
    <n v="85906"/>
    <n v="36883"/>
    <x v="50"/>
    <n v="7125"/>
    <n v="41898"/>
    <x v="39"/>
  </r>
  <r>
    <x v="10"/>
    <x v="3"/>
    <n v="41910"/>
    <n v="28028"/>
    <x v="51"/>
    <n v="4381"/>
    <n v="9501"/>
    <x v="40"/>
  </r>
  <r>
    <x v="10"/>
    <x v="4"/>
    <n v="78783"/>
    <n v="35824"/>
    <x v="52"/>
    <n v="6897"/>
    <n v="36062"/>
    <x v="41"/>
  </r>
  <r>
    <x v="11"/>
    <x v="0"/>
    <n v="179949"/>
    <n v="80675"/>
    <x v="53"/>
    <n v="14045"/>
    <n v="85229"/>
    <x v="42"/>
  </r>
  <r>
    <x v="11"/>
    <x v="1"/>
    <n v="1757"/>
    <n v="960"/>
    <x v="54"/>
    <n v="80"/>
    <n v="717"/>
    <x v="43"/>
  </r>
  <r>
    <x v="11"/>
    <x v="2"/>
    <n v="71810"/>
    <n v="46349"/>
    <x v="55"/>
    <n v="2007"/>
    <n v="23454"/>
    <x v="38"/>
  </r>
  <r>
    <x v="11"/>
    <x v="3"/>
    <n v="97823"/>
    <n v="75942"/>
    <x v="56"/>
    <n v="6348"/>
    <n v="15533"/>
    <x v="44"/>
  </r>
  <r>
    <x v="11"/>
    <x v="4"/>
    <n v="100590"/>
    <n v="58491"/>
    <x v="57"/>
    <n v="3325"/>
    <n v="38774"/>
    <x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176250"/>
    <n v="102043"/>
    <n v="14260"/>
    <n v="14695"/>
    <n v="59512"/>
    <n v="0.73"/>
  </r>
  <r>
    <x v="0"/>
    <x v="1"/>
    <n v="33478"/>
    <n v="23869"/>
    <n v="1060"/>
    <n v="1760"/>
    <n v="7849"/>
    <n v="0.4"/>
  </r>
  <r>
    <x v="0"/>
    <x v="2"/>
    <n v="56406"/>
    <n v="51069"/>
    <n v="18311"/>
    <n v="5327"/>
    <n v="10"/>
    <n v="0.1"/>
  </r>
  <r>
    <x v="0"/>
    <x v="3"/>
    <n v="2590"/>
    <n v="2224"/>
    <n v="92"/>
    <n v="68"/>
    <n v="298"/>
    <n v="0.16"/>
  </r>
  <r>
    <x v="0"/>
    <x v="4"/>
    <n v="14614"/>
    <n v="10419"/>
    <n v="797"/>
    <n v="1437"/>
    <n v="2758"/>
    <n v="0.4"/>
  </r>
  <r>
    <x v="1"/>
    <x v="0"/>
    <n v="213930"/>
    <n v="121086"/>
    <n v="33976"/>
    <n v="17562"/>
    <n v="75282"/>
    <n v="0.77"/>
  </r>
  <r>
    <x v="1"/>
    <x v="1"/>
    <n v="66634"/>
    <n v="62861"/>
    <n v="674"/>
    <n v="4247"/>
    <n v="-474"/>
    <n v="0.06"/>
  </r>
  <r>
    <x v="1"/>
    <x v="2"/>
    <n v="70331"/>
    <n v="38036"/>
    <n v="3953"/>
    <n v="7817"/>
    <n v="24478"/>
    <n v="0.85"/>
  </r>
  <r>
    <x v="1"/>
    <x v="3"/>
    <n v="34584"/>
    <n v="14915"/>
    <n v="219"/>
    <n v="2169"/>
    <n v="17500"/>
    <n v="1.32"/>
  </r>
  <r>
    <x v="1"/>
    <x v="4"/>
    <n v="75045"/>
    <n v="68478"/>
    <n v="2446"/>
    <n v="4706"/>
    <n v="1861"/>
    <n v="0.1"/>
  </r>
  <r>
    <x v="2"/>
    <x v="0"/>
    <n v="199537"/>
    <n v="156257"/>
    <n v="26878"/>
    <n v="9911"/>
    <n v="33369"/>
    <n v="0.28000000000000003"/>
  </r>
  <r>
    <x v="2"/>
    <x v="1"/>
    <n v="21362"/>
    <n v="18437"/>
    <n v="201"/>
    <n v="1786"/>
    <n v="1139"/>
    <n v="0.16"/>
  </r>
  <r>
    <x v="2"/>
    <x v="2"/>
    <n v="2928"/>
    <n v="2230"/>
    <n v="949"/>
    <n v="222"/>
    <n v="476"/>
    <n v="0.31"/>
  </r>
  <r>
    <x v="2"/>
    <x v="3"/>
    <n v="25225"/>
    <n v="10521"/>
    <n v="542"/>
    <n v="1671"/>
    <n v="13033"/>
    <n v="1.4"/>
  </r>
  <r>
    <x v="2"/>
    <x v="4"/>
    <n v="109313"/>
    <n v="44886"/>
    <n v="2476"/>
    <n v="8617"/>
    <n v="55810"/>
    <n v="1.44"/>
  </r>
  <r>
    <x v="3"/>
    <x v="0"/>
    <n v="215195"/>
    <n v="126716"/>
    <n v="44447"/>
    <n v="9214"/>
    <n v="79265"/>
    <n v="0.7"/>
  </r>
  <r>
    <x v="3"/>
    <x v="1"/>
    <n v="53960"/>
    <n v="31914"/>
    <n v="1314"/>
    <n v="4293"/>
    <n v="17753"/>
    <n v="0.69"/>
  </r>
  <r>
    <x v="3"/>
    <x v="2"/>
    <n v="48437"/>
    <n v="45241"/>
    <n v="22276"/>
    <n v="3776"/>
    <n v="-580"/>
    <n v="7.0000000000000007E-2"/>
  </r>
  <r>
    <x v="3"/>
    <x v="3"/>
    <n v="0"/>
    <n v="0"/>
    <n v="0"/>
    <n v="0"/>
    <n v="0"/>
    <n v="0"/>
  </r>
  <r>
    <x v="3"/>
    <x v="4"/>
    <n v="80454"/>
    <n v="68513"/>
    <n v="4050"/>
    <n v="4329"/>
    <n v="7612"/>
    <n v="0.17"/>
  </r>
  <r>
    <x v="4"/>
    <x v="0"/>
    <n v="216787"/>
    <n v="111521"/>
    <n v="21828"/>
    <n v="18134"/>
    <n v="87132"/>
    <n v="0.94"/>
  </r>
  <r>
    <x v="4"/>
    <x v="1"/>
    <n v="5416"/>
    <n v="4792"/>
    <n v="277"/>
    <n v="519"/>
    <n v="105"/>
    <n v="0.13"/>
  </r>
  <r>
    <x v="4"/>
    <x v="2"/>
    <n v="71967"/>
    <n v="38517"/>
    <n v="16949"/>
    <n v="4579"/>
    <n v="28871"/>
    <n v="0.87"/>
  </r>
  <r>
    <x v="4"/>
    <x v="3"/>
    <n v="85160"/>
    <n v="36134"/>
    <n v="1156"/>
    <n v="8222"/>
    <n v="40804"/>
    <n v="1.36"/>
  </r>
  <r>
    <x v="4"/>
    <x v="4"/>
    <n v="69564"/>
    <n v="52072"/>
    <n v="1562"/>
    <n v="1762"/>
    <n v="15730"/>
    <n v="0.34"/>
  </r>
  <r>
    <x v="5"/>
    <x v="0"/>
    <n v="209678"/>
    <n v="154809"/>
    <n v="11042"/>
    <n v="17040"/>
    <n v="37829"/>
    <n v="0.35"/>
  </r>
  <r>
    <x v="5"/>
    <x v="1"/>
    <n v="57430"/>
    <n v="37978"/>
    <n v="1145"/>
    <n v="6048"/>
    <n v="13404"/>
    <n v="0.51"/>
  </r>
  <r>
    <x v="5"/>
    <x v="2"/>
    <n v="44961"/>
    <n v="24266"/>
    <n v="4561"/>
    <n v="4650"/>
    <n v="16045"/>
    <n v="0.85"/>
  </r>
  <r>
    <x v="5"/>
    <x v="3"/>
    <n v="26318"/>
    <n v="15559"/>
    <n v="318"/>
    <n v="628"/>
    <n v="10131"/>
    <n v="0.69"/>
  </r>
  <r>
    <x v="5"/>
    <x v="4"/>
    <n v="0"/>
    <n v="0"/>
    <n v="0"/>
    <n v="0"/>
    <n v="0"/>
    <n v="0"/>
  </r>
  <r>
    <x v="6"/>
    <x v="0"/>
    <n v="207864"/>
    <n v="196061"/>
    <n v="51573"/>
    <n v="20837"/>
    <n v="-9034"/>
    <n v="0.06"/>
  </r>
  <r>
    <x v="6"/>
    <x v="1"/>
    <n v="46387"/>
    <n v="37349"/>
    <n v="1372"/>
    <n v="1199"/>
    <n v="7839"/>
    <n v="0.24"/>
  </r>
  <r>
    <x v="6"/>
    <x v="2"/>
    <n v="55189"/>
    <n v="44270"/>
    <n v="15448"/>
    <n v="1824"/>
    <n v="9095"/>
    <n v="0.25"/>
  </r>
  <r>
    <x v="6"/>
    <x v="3"/>
    <n v="44517"/>
    <n v="33475"/>
    <n v="2661"/>
    <n v="4721"/>
    <n v="6321"/>
    <n v="0.33"/>
  </r>
  <r>
    <x v="6"/>
    <x v="4"/>
    <n v="20238"/>
    <n v="16622"/>
    <n v="268"/>
    <n v="2077"/>
    <n v="1539"/>
    <n v="0.22"/>
  </r>
  <r>
    <x v="7"/>
    <x v="0"/>
    <n v="211477"/>
    <n v="115056"/>
    <n v="41418"/>
    <n v="23763"/>
    <n v="72658"/>
    <n v="0.84"/>
  </r>
  <r>
    <x v="7"/>
    <x v="1"/>
    <n v="51156"/>
    <n v="33492"/>
    <n v="810"/>
    <n v="4042"/>
    <n v="13622"/>
    <n v="0.53"/>
  </r>
  <r>
    <x v="7"/>
    <x v="2"/>
    <n v="0"/>
    <n v="0"/>
    <n v="0"/>
    <n v="0"/>
    <n v="0"/>
    <n v="0"/>
  </r>
  <r>
    <x v="7"/>
    <x v="3"/>
    <n v="104421"/>
    <n v="87758"/>
    <n v="4775"/>
    <n v="3293"/>
    <n v="13370"/>
    <n v="0.19"/>
  </r>
  <r>
    <x v="7"/>
    <x v="4"/>
    <n v="52489"/>
    <n v="33638"/>
    <n v="2886"/>
    <n v="4181"/>
    <n v="14670"/>
    <n v="0.56000000000000005"/>
  </r>
  <r>
    <x v="8"/>
    <x v="0"/>
    <n v="175221"/>
    <n v="163023"/>
    <n v="37794"/>
    <n v="14957"/>
    <n v="-2759"/>
    <n v="7.0000000000000007E-2"/>
  </r>
  <r>
    <x v="8"/>
    <x v="1"/>
    <n v="67671"/>
    <n v="27770"/>
    <n v="595"/>
    <n v="6645"/>
    <n v="33256"/>
    <n v="1.44"/>
  </r>
  <r>
    <x v="8"/>
    <x v="2"/>
    <n v="46814"/>
    <n v="19175"/>
    <n v="2618"/>
    <n v="4458"/>
    <n v="23181"/>
    <n v="1.44"/>
  </r>
  <r>
    <x v="8"/>
    <x v="3"/>
    <n v="39403"/>
    <n v="36069"/>
    <n v="644"/>
    <n v="2986"/>
    <n v="348"/>
    <n v="0.09"/>
  </r>
  <r>
    <x v="8"/>
    <x v="4"/>
    <n v="31787"/>
    <n v="16543"/>
    <n v="1025"/>
    <n v="842"/>
    <n v="14402"/>
    <n v="0.92"/>
  </r>
  <r>
    <x v="9"/>
    <x v="0"/>
    <n v="187581"/>
    <n v="119830"/>
    <n v="13283"/>
    <n v="8866"/>
    <n v="58885"/>
    <n v="0.56999999999999995"/>
  </r>
  <r>
    <x v="9"/>
    <x v="1"/>
    <n v="55837"/>
    <n v="44078"/>
    <n v="3885"/>
    <n v="3257"/>
    <n v="8502"/>
    <n v="0.27"/>
  </r>
  <r>
    <x v="9"/>
    <x v="2"/>
    <n v="45286"/>
    <n v="25920"/>
    <n v="5735"/>
    <n v="989"/>
    <n v="18377"/>
    <n v="0.75"/>
  </r>
  <r>
    <x v="9"/>
    <x v="3"/>
    <n v="23846"/>
    <n v="13647"/>
    <n v="871"/>
    <n v="1517"/>
    <n v="8682"/>
    <n v="0.75"/>
  </r>
  <r>
    <x v="9"/>
    <x v="4"/>
    <n v="89119"/>
    <n v="83724"/>
    <n v="3521"/>
    <n v="7253"/>
    <n v="-1858"/>
    <n v="0.06"/>
  </r>
  <r>
    <x v="10"/>
    <x v="0"/>
    <n v="261795"/>
    <n v="122964"/>
    <n v="46709"/>
    <n v="12283"/>
    <n v="126548"/>
    <n v="1.1299999999999999"/>
  </r>
  <r>
    <x v="10"/>
    <x v="1"/>
    <n v="24711"/>
    <n v="15981"/>
    <n v="1430"/>
    <n v="2892"/>
    <n v="5838"/>
    <n v="0.55000000000000004"/>
  </r>
  <r>
    <x v="10"/>
    <x v="2"/>
    <n v="85906"/>
    <n v="36883"/>
    <n v="15911"/>
    <n v="7125"/>
    <n v="41898"/>
    <n v="1.33"/>
  </r>
  <r>
    <x v="10"/>
    <x v="3"/>
    <n v="41910"/>
    <n v="28028"/>
    <n v="2525"/>
    <n v="4381"/>
    <n v="9501"/>
    <n v="0.5"/>
  </r>
  <r>
    <x v="10"/>
    <x v="4"/>
    <n v="78783"/>
    <n v="35824"/>
    <n v="3010"/>
    <n v="6897"/>
    <n v="36062"/>
    <n v="1.2"/>
  </r>
  <r>
    <x v="11"/>
    <x v="0"/>
    <n v="179949"/>
    <n v="80675"/>
    <n v="28832"/>
    <n v="14045"/>
    <n v="85229"/>
    <n v="1.23"/>
  </r>
  <r>
    <x v="11"/>
    <x v="1"/>
    <n v="1757"/>
    <n v="960"/>
    <n v="75"/>
    <n v="80"/>
    <n v="717"/>
    <n v="0.83"/>
  </r>
  <r>
    <x v="11"/>
    <x v="2"/>
    <n v="71810"/>
    <n v="46349"/>
    <n v="16808"/>
    <n v="2007"/>
    <n v="23454"/>
    <n v="0.55000000000000004"/>
  </r>
  <r>
    <x v="11"/>
    <x v="3"/>
    <n v="97823"/>
    <n v="75942"/>
    <n v="3287"/>
    <n v="6348"/>
    <n v="15533"/>
    <n v="0.28999999999999998"/>
  </r>
  <r>
    <x v="11"/>
    <x v="4"/>
    <n v="100590"/>
    <n v="58491"/>
    <n v="4839"/>
    <n v="3325"/>
    <n v="38774"/>
    <n v="0.7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176250"/>
    <n v="102043"/>
    <n v="14260"/>
    <n v="14695"/>
    <n v="59512"/>
    <n v="0.73"/>
  </r>
  <r>
    <x v="0"/>
    <x v="1"/>
    <n v="33478"/>
    <n v="23869"/>
    <n v="1060"/>
    <n v="1760"/>
    <n v="7849"/>
    <n v="0.4"/>
  </r>
  <r>
    <x v="0"/>
    <x v="2"/>
    <n v="56406"/>
    <n v="51069"/>
    <n v="18311"/>
    <n v="5327"/>
    <n v="10"/>
    <n v="0.1"/>
  </r>
  <r>
    <x v="0"/>
    <x v="3"/>
    <n v="2590"/>
    <n v="2224"/>
    <n v="92"/>
    <n v="68"/>
    <n v="298"/>
    <n v="0.16"/>
  </r>
  <r>
    <x v="0"/>
    <x v="4"/>
    <n v="14614"/>
    <n v="10419"/>
    <n v="797"/>
    <n v="1437"/>
    <n v="2758"/>
    <n v="0.4"/>
  </r>
  <r>
    <x v="1"/>
    <x v="0"/>
    <n v="213930"/>
    <n v="121086"/>
    <n v="33976"/>
    <n v="17562"/>
    <n v="75282"/>
    <n v="0.77"/>
  </r>
  <r>
    <x v="1"/>
    <x v="1"/>
    <n v="66634"/>
    <n v="62861"/>
    <n v="674"/>
    <n v="4247"/>
    <n v="-474"/>
    <n v="0.06"/>
  </r>
  <r>
    <x v="1"/>
    <x v="2"/>
    <n v="70331"/>
    <n v="38036"/>
    <n v="3953"/>
    <n v="7817"/>
    <n v="24478"/>
    <n v="0.85"/>
  </r>
  <r>
    <x v="1"/>
    <x v="3"/>
    <n v="34584"/>
    <n v="14915"/>
    <n v="219"/>
    <n v="2169"/>
    <n v="17500"/>
    <n v="1.32"/>
  </r>
  <r>
    <x v="1"/>
    <x v="4"/>
    <n v="75045"/>
    <n v="68478"/>
    <n v="2446"/>
    <n v="4706"/>
    <n v="1861"/>
    <n v="0.1"/>
  </r>
  <r>
    <x v="2"/>
    <x v="0"/>
    <n v="199537"/>
    <n v="156257"/>
    <n v="26878"/>
    <n v="9911"/>
    <n v="33369"/>
    <n v="0.28000000000000003"/>
  </r>
  <r>
    <x v="2"/>
    <x v="1"/>
    <n v="21362"/>
    <n v="18437"/>
    <n v="201"/>
    <n v="1786"/>
    <n v="1139"/>
    <n v="0.16"/>
  </r>
  <r>
    <x v="2"/>
    <x v="2"/>
    <n v="2928"/>
    <n v="2230"/>
    <n v="949"/>
    <n v="222"/>
    <n v="476"/>
    <n v="0.31"/>
  </r>
  <r>
    <x v="2"/>
    <x v="3"/>
    <n v="25225"/>
    <n v="10521"/>
    <n v="542"/>
    <n v="1671"/>
    <n v="13033"/>
    <n v="1.4"/>
  </r>
  <r>
    <x v="2"/>
    <x v="4"/>
    <n v="109313"/>
    <n v="44886"/>
    <n v="2476"/>
    <n v="8617"/>
    <n v="55810"/>
    <n v="1.44"/>
  </r>
  <r>
    <x v="3"/>
    <x v="0"/>
    <n v="215195"/>
    <n v="126716"/>
    <n v="44447"/>
    <n v="9214"/>
    <n v="79265"/>
    <n v="0.7"/>
  </r>
  <r>
    <x v="3"/>
    <x v="1"/>
    <n v="53960"/>
    <n v="31914"/>
    <n v="1314"/>
    <n v="4293"/>
    <n v="17753"/>
    <n v="0.69"/>
  </r>
  <r>
    <x v="3"/>
    <x v="2"/>
    <n v="48437"/>
    <n v="45241"/>
    <n v="22276"/>
    <n v="3776"/>
    <n v="-580"/>
    <n v="7.0000000000000007E-2"/>
  </r>
  <r>
    <x v="3"/>
    <x v="3"/>
    <n v="0"/>
    <n v="0"/>
    <n v="0"/>
    <n v="0"/>
    <n v="0"/>
    <n v="0"/>
  </r>
  <r>
    <x v="3"/>
    <x v="4"/>
    <n v="80454"/>
    <n v="68513"/>
    <n v="4050"/>
    <n v="4329"/>
    <n v="7612"/>
    <n v="0.17"/>
  </r>
  <r>
    <x v="4"/>
    <x v="0"/>
    <n v="216787"/>
    <n v="111521"/>
    <n v="21828"/>
    <n v="18134"/>
    <n v="87132"/>
    <n v="0.94"/>
  </r>
  <r>
    <x v="4"/>
    <x v="1"/>
    <n v="5416"/>
    <n v="4792"/>
    <n v="277"/>
    <n v="519"/>
    <n v="105"/>
    <n v="0.13"/>
  </r>
  <r>
    <x v="4"/>
    <x v="2"/>
    <n v="71967"/>
    <n v="38517"/>
    <n v="16949"/>
    <n v="4579"/>
    <n v="28871"/>
    <n v="0.87"/>
  </r>
  <r>
    <x v="4"/>
    <x v="3"/>
    <n v="85160"/>
    <n v="36134"/>
    <n v="1156"/>
    <n v="8222"/>
    <n v="40804"/>
    <n v="1.36"/>
  </r>
  <r>
    <x v="4"/>
    <x v="4"/>
    <n v="69564"/>
    <n v="52072"/>
    <n v="1562"/>
    <n v="1762"/>
    <n v="15730"/>
    <n v="0.34"/>
  </r>
  <r>
    <x v="5"/>
    <x v="0"/>
    <n v="209678"/>
    <n v="154809"/>
    <n v="11042"/>
    <n v="17040"/>
    <n v="37829"/>
    <n v="0.35"/>
  </r>
  <r>
    <x v="5"/>
    <x v="1"/>
    <n v="57430"/>
    <n v="37978"/>
    <n v="1145"/>
    <n v="6048"/>
    <n v="13404"/>
    <n v="0.51"/>
  </r>
  <r>
    <x v="5"/>
    <x v="2"/>
    <n v="44961"/>
    <n v="24266"/>
    <n v="4561"/>
    <n v="4650"/>
    <n v="16045"/>
    <n v="0.85"/>
  </r>
  <r>
    <x v="5"/>
    <x v="3"/>
    <n v="26318"/>
    <n v="15559"/>
    <n v="318"/>
    <n v="628"/>
    <n v="10131"/>
    <n v="0.69"/>
  </r>
  <r>
    <x v="5"/>
    <x v="4"/>
    <n v="0"/>
    <n v="0"/>
    <n v="0"/>
    <n v="0"/>
    <n v="0"/>
    <n v="0"/>
  </r>
  <r>
    <x v="6"/>
    <x v="0"/>
    <n v="207864"/>
    <n v="196061"/>
    <n v="51573"/>
    <n v="20837"/>
    <n v="-9034"/>
    <n v="0.06"/>
  </r>
  <r>
    <x v="6"/>
    <x v="1"/>
    <n v="46387"/>
    <n v="37349"/>
    <n v="1372"/>
    <n v="1199"/>
    <n v="7839"/>
    <n v="0.24"/>
  </r>
  <r>
    <x v="6"/>
    <x v="2"/>
    <n v="55189"/>
    <n v="44270"/>
    <n v="15448"/>
    <n v="1824"/>
    <n v="9095"/>
    <n v="0.25"/>
  </r>
  <r>
    <x v="6"/>
    <x v="3"/>
    <n v="44517"/>
    <n v="33475"/>
    <n v="2661"/>
    <n v="4721"/>
    <n v="6321"/>
    <n v="0.33"/>
  </r>
  <r>
    <x v="6"/>
    <x v="4"/>
    <n v="20238"/>
    <n v="16622"/>
    <n v="268"/>
    <n v="2077"/>
    <n v="1539"/>
    <n v="0.22"/>
  </r>
  <r>
    <x v="7"/>
    <x v="0"/>
    <n v="211477"/>
    <n v="115056"/>
    <n v="41418"/>
    <n v="23763"/>
    <n v="72658"/>
    <n v="0.84"/>
  </r>
  <r>
    <x v="7"/>
    <x v="1"/>
    <n v="51156"/>
    <n v="33492"/>
    <n v="810"/>
    <n v="4042"/>
    <n v="13622"/>
    <n v="0.53"/>
  </r>
  <r>
    <x v="7"/>
    <x v="2"/>
    <n v="0"/>
    <n v="0"/>
    <n v="0"/>
    <n v="0"/>
    <n v="0"/>
    <n v="0"/>
  </r>
  <r>
    <x v="7"/>
    <x v="3"/>
    <n v="104421"/>
    <n v="87758"/>
    <n v="4775"/>
    <n v="3293"/>
    <n v="13370"/>
    <n v="0.19"/>
  </r>
  <r>
    <x v="7"/>
    <x v="4"/>
    <n v="52489"/>
    <n v="33638"/>
    <n v="2886"/>
    <n v="4181"/>
    <n v="14670"/>
    <n v="0.56000000000000005"/>
  </r>
  <r>
    <x v="8"/>
    <x v="0"/>
    <n v="175221"/>
    <n v="163023"/>
    <n v="37794"/>
    <n v="14957"/>
    <n v="-2759"/>
    <n v="7.0000000000000007E-2"/>
  </r>
  <r>
    <x v="8"/>
    <x v="1"/>
    <n v="67671"/>
    <n v="27770"/>
    <n v="595"/>
    <n v="6645"/>
    <n v="33256"/>
    <n v="1.44"/>
  </r>
  <r>
    <x v="8"/>
    <x v="2"/>
    <n v="46814"/>
    <n v="19175"/>
    <n v="2618"/>
    <n v="4458"/>
    <n v="23181"/>
    <n v="1.44"/>
  </r>
  <r>
    <x v="8"/>
    <x v="3"/>
    <n v="39403"/>
    <n v="36069"/>
    <n v="644"/>
    <n v="2986"/>
    <n v="348"/>
    <n v="0.09"/>
  </r>
  <r>
    <x v="8"/>
    <x v="4"/>
    <n v="31787"/>
    <n v="16543"/>
    <n v="1025"/>
    <n v="842"/>
    <n v="14402"/>
    <n v="0.92"/>
  </r>
  <r>
    <x v="9"/>
    <x v="0"/>
    <n v="187581"/>
    <n v="119830"/>
    <n v="13283"/>
    <n v="8866"/>
    <n v="58885"/>
    <n v="0.56999999999999995"/>
  </r>
  <r>
    <x v="9"/>
    <x v="1"/>
    <n v="55837"/>
    <n v="44078"/>
    <n v="3885"/>
    <n v="3257"/>
    <n v="8502"/>
    <n v="0.27"/>
  </r>
  <r>
    <x v="9"/>
    <x v="2"/>
    <n v="45286"/>
    <n v="25920"/>
    <n v="5735"/>
    <n v="989"/>
    <n v="18377"/>
    <n v="0.75"/>
  </r>
  <r>
    <x v="9"/>
    <x v="3"/>
    <n v="23846"/>
    <n v="13647"/>
    <n v="871"/>
    <n v="1517"/>
    <n v="8682"/>
    <n v="0.75"/>
  </r>
  <r>
    <x v="9"/>
    <x v="4"/>
    <n v="89119"/>
    <n v="83724"/>
    <n v="3521"/>
    <n v="7253"/>
    <n v="-1858"/>
    <n v="0.06"/>
  </r>
  <r>
    <x v="10"/>
    <x v="0"/>
    <n v="261795"/>
    <n v="122964"/>
    <n v="46709"/>
    <n v="12283"/>
    <n v="126548"/>
    <n v="1.1299999999999999"/>
  </r>
  <r>
    <x v="10"/>
    <x v="1"/>
    <n v="24711"/>
    <n v="15981"/>
    <n v="1430"/>
    <n v="2892"/>
    <n v="5838"/>
    <n v="0.55000000000000004"/>
  </r>
  <r>
    <x v="10"/>
    <x v="2"/>
    <n v="85906"/>
    <n v="36883"/>
    <n v="15911"/>
    <n v="7125"/>
    <n v="41898"/>
    <n v="1.33"/>
  </r>
  <r>
    <x v="10"/>
    <x v="3"/>
    <n v="41910"/>
    <n v="28028"/>
    <n v="2525"/>
    <n v="4381"/>
    <n v="9501"/>
    <n v="0.5"/>
  </r>
  <r>
    <x v="10"/>
    <x v="4"/>
    <n v="78783"/>
    <n v="35824"/>
    <n v="3010"/>
    <n v="6897"/>
    <n v="36062"/>
    <n v="1.2"/>
  </r>
  <r>
    <x v="11"/>
    <x v="0"/>
    <n v="179949"/>
    <n v="80675"/>
    <n v="28832"/>
    <n v="14045"/>
    <n v="85229"/>
    <n v="1.23"/>
  </r>
  <r>
    <x v="11"/>
    <x v="1"/>
    <n v="1757"/>
    <n v="960"/>
    <n v="75"/>
    <n v="80"/>
    <n v="717"/>
    <n v="0.83"/>
  </r>
  <r>
    <x v="11"/>
    <x v="2"/>
    <n v="71810"/>
    <n v="46349"/>
    <n v="16808"/>
    <n v="2007"/>
    <n v="23454"/>
    <n v="0.55000000000000004"/>
  </r>
  <r>
    <x v="11"/>
    <x v="3"/>
    <n v="97823"/>
    <n v="75942"/>
    <n v="3287"/>
    <n v="6348"/>
    <n v="15533"/>
    <n v="0.28999999999999998"/>
  </r>
  <r>
    <x v="11"/>
    <x v="4"/>
    <n v="100590"/>
    <n v="58491"/>
    <n v="4839"/>
    <n v="3325"/>
    <n v="38774"/>
    <n v="0.7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176250"/>
    <n v="102043"/>
    <n v="14260"/>
    <n v="14695"/>
    <n v="59512"/>
    <n v="0.73"/>
  </r>
  <r>
    <x v="0"/>
    <x v="1"/>
    <n v="33478"/>
    <n v="23869"/>
    <n v="1060"/>
    <n v="1760"/>
    <n v="7849"/>
    <n v="0.4"/>
  </r>
  <r>
    <x v="0"/>
    <x v="2"/>
    <n v="56406"/>
    <n v="51069"/>
    <n v="18311"/>
    <n v="5327"/>
    <n v="10"/>
    <n v="0.1"/>
  </r>
  <r>
    <x v="0"/>
    <x v="3"/>
    <n v="2590"/>
    <n v="2224"/>
    <n v="92"/>
    <n v="68"/>
    <n v="298"/>
    <n v="0.16"/>
  </r>
  <r>
    <x v="0"/>
    <x v="4"/>
    <n v="14614"/>
    <n v="10419"/>
    <n v="797"/>
    <n v="1437"/>
    <n v="2758"/>
    <n v="0.4"/>
  </r>
  <r>
    <x v="1"/>
    <x v="0"/>
    <n v="213930"/>
    <n v="121086"/>
    <n v="33976"/>
    <n v="17562"/>
    <n v="75282"/>
    <n v="0.77"/>
  </r>
  <r>
    <x v="1"/>
    <x v="1"/>
    <n v="66634"/>
    <n v="62861"/>
    <n v="674"/>
    <n v="4247"/>
    <n v="-474"/>
    <n v="0.06"/>
  </r>
  <r>
    <x v="1"/>
    <x v="2"/>
    <n v="70331"/>
    <n v="38036"/>
    <n v="3953"/>
    <n v="7817"/>
    <n v="24478"/>
    <n v="0.85"/>
  </r>
  <r>
    <x v="1"/>
    <x v="3"/>
    <n v="34584"/>
    <n v="14915"/>
    <n v="219"/>
    <n v="2169"/>
    <n v="17500"/>
    <n v="1.32"/>
  </r>
  <r>
    <x v="1"/>
    <x v="4"/>
    <n v="75045"/>
    <n v="68478"/>
    <n v="2446"/>
    <n v="4706"/>
    <n v="1861"/>
    <n v="0.1"/>
  </r>
  <r>
    <x v="2"/>
    <x v="0"/>
    <n v="199537"/>
    <n v="156257"/>
    <n v="26878"/>
    <n v="9911"/>
    <n v="33369"/>
    <n v="0.28000000000000003"/>
  </r>
  <r>
    <x v="2"/>
    <x v="1"/>
    <n v="21362"/>
    <n v="18437"/>
    <n v="201"/>
    <n v="1786"/>
    <n v="1139"/>
    <n v="0.16"/>
  </r>
  <r>
    <x v="2"/>
    <x v="2"/>
    <n v="2928"/>
    <n v="2230"/>
    <n v="949"/>
    <n v="222"/>
    <n v="476"/>
    <n v="0.31"/>
  </r>
  <r>
    <x v="2"/>
    <x v="3"/>
    <n v="25225"/>
    <n v="10521"/>
    <n v="542"/>
    <n v="1671"/>
    <n v="13033"/>
    <n v="1.4"/>
  </r>
  <r>
    <x v="2"/>
    <x v="4"/>
    <n v="109313"/>
    <n v="44886"/>
    <n v="2476"/>
    <n v="8617"/>
    <n v="55810"/>
    <n v="1.44"/>
  </r>
  <r>
    <x v="3"/>
    <x v="0"/>
    <n v="215195"/>
    <n v="126716"/>
    <n v="44447"/>
    <n v="9214"/>
    <n v="79265"/>
    <n v="0.7"/>
  </r>
  <r>
    <x v="3"/>
    <x v="1"/>
    <n v="53960"/>
    <n v="31914"/>
    <n v="1314"/>
    <n v="4293"/>
    <n v="17753"/>
    <n v="0.69"/>
  </r>
  <r>
    <x v="3"/>
    <x v="2"/>
    <n v="48437"/>
    <n v="45241"/>
    <n v="22276"/>
    <n v="3776"/>
    <n v="-580"/>
    <n v="7.0000000000000007E-2"/>
  </r>
  <r>
    <x v="3"/>
    <x v="3"/>
    <n v="0"/>
    <n v="0"/>
    <n v="0"/>
    <n v="0"/>
    <n v="0"/>
    <n v="0"/>
  </r>
  <r>
    <x v="3"/>
    <x v="4"/>
    <n v="80454"/>
    <n v="68513"/>
    <n v="4050"/>
    <n v="4329"/>
    <n v="7612"/>
    <n v="0.17"/>
  </r>
  <r>
    <x v="4"/>
    <x v="0"/>
    <n v="216787"/>
    <n v="111521"/>
    <n v="21828"/>
    <n v="18134"/>
    <n v="87132"/>
    <n v="0.94"/>
  </r>
  <r>
    <x v="4"/>
    <x v="1"/>
    <n v="5416"/>
    <n v="4792"/>
    <n v="277"/>
    <n v="519"/>
    <n v="105"/>
    <n v="0.13"/>
  </r>
  <r>
    <x v="4"/>
    <x v="2"/>
    <n v="71967"/>
    <n v="38517"/>
    <n v="16949"/>
    <n v="4579"/>
    <n v="28871"/>
    <n v="0.87"/>
  </r>
  <r>
    <x v="4"/>
    <x v="3"/>
    <n v="85160"/>
    <n v="36134"/>
    <n v="1156"/>
    <n v="8222"/>
    <n v="40804"/>
    <n v="1.36"/>
  </r>
  <r>
    <x v="4"/>
    <x v="4"/>
    <n v="69564"/>
    <n v="52072"/>
    <n v="1562"/>
    <n v="1762"/>
    <n v="15730"/>
    <n v="0.34"/>
  </r>
  <r>
    <x v="5"/>
    <x v="0"/>
    <n v="209678"/>
    <n v="154809"/>
    <n v="11042"/>
    <n v="17040"/>
    <n v="37829"/>
    <n v="0.35"/>
  </r>
  <r>
    <x v="5"/>
    <x v="1"/>
    <n v="57430"/>
    <n v="37978"/>
    <n v="1145"/>
    <n v="6048"/>
    <n v="13404"/>
    <n v="0.51"/>
  </r>
  <r>
    <x v="5"/>
    <x v="2"/>
    <n v="44961"/>
    <n v="24266"/>
    <n v="4561"/>
    <n v="4650"/>
    <n v="16045"/>
    <n v="0.85"/>
  </r>
  <r>
    <x v="5"/>
    <x v="3"/>
    <n v="26318"/>
    <n v="15559"/>
    <n v="318"/>
    <n v="628"/>
    <n v="10131"/>
    <n v="0.69"/>
  </r>
  <r>
    <x v="5"/>
    <x v="4"/>
    <n v="0"/>
    <n v="0"/>
    <n v="0"/>
    <n v="0"/>
    <n v="0"/>
    <n v="0"/>
  </r>
  <r>
    <x v="6"/>
    <x v="0"/>
    <n v="207864"/>
    <n v="196061"/>
    <n v="51573"/>
    <n v="20837"/>
    <n v="-9034"/>
    <n v="0.06"/>
  </r>
  <r>
    <x v="6"/>
    <x v="1"/>
    <n v="46387"/>
    <n v="37349"/>
    <n v="1372"/>
    <n v="1199"/>
    <n v="7839"/>
    <n v="0.24"/>
  </r>
  <r>
    <x v="6"/>
    <x v="2"/>
    <n v="55189"/>
    <n v="44270"/>
    <n v="15448"/>
    <n v="1824"/>
    <n v="9095"/>
    <n v="0.25"/>
  </r>
  <r>
    <x v="6"/>
    <x v="3"/>
    <n v="44517"/>
    <n v="33475"/>
    <n v="2661"/>
    <n v="4721"/>
    <n v="6321"/>
    <n v="0.33"/>
  </r>
  <r>
    <x v="6"/>
    <x v="4"/>
    <n v="20238"/>
    <n v="16622"/>
    <n v="268"/>
    <n v="2077"/>
    <n v="1539"/>
    <n v="0.22"/>
  </r>
  <r>
    <x v="7"/>
    <x v="0"/>
    <n v="211477"/>
    <n v="115056"/>
    <n v="41418"/>
    <n v="23763"/>
    <n v="72658"/>
    <n v="0.84"/>
  </r>
  <r>
    <x v="7"/>
    <x v="1"/>
    <n v="51156"/>
    <n v="33492"/>
    <n v="810"/>
    <n v="4042"/>
    <n v="13622"/>
    <n v="0.53"/>
  </r>
  <r>
    <x v="7"/>
    <x v="2"/>
    <n v="0"/>
    <n v="0"/>
    <n v="0"/>
    <n v="0"/>
    <n v="0"/>
    <n v="0"/>
  </r>
  <r>
    <x v="7"/>
    <x v="3"/>
    <n v="104421"/>
    <n v="87758"/>
    <n v="4775"/>
    <n v="3293"/>
    <n v="13370"/>
    <n v="0.19"/>
  </r>
  <r>
    <x v="7"/>
    <x v="4"/>
    <n v="52489"/>
    <n v="33638"/>
    <n v="2886"/>
    <n v="4181"/>
    <n v="14670"/>
    <n v="0.56000000000000005"/>
  </r>
  <r>
    <x v="8"/>
    <x v="0"/>
    <n v="175221"/>
    <n v="163023"/>
    <n v="37794"/>
    <n v="14957"/>
    <n v="-2759"/>
    <n v="7.0000000000000007E-2"/>
  </r>
  <r>
    <x v="8"/>
    <x v="1"/>
    <n v="67671"/>
    <n v="27770"/>
    <n v="595"/>
    <n v="6645"/>
    <n v="33256"/>
    <n v="1.44"/>
  </r>
  <r>
    <x v="8"/>
    <x v="2"/>
    <n v="46814"/>
    <n v="19175"/>
    <n v="2618"/>
    <n v="4458"/>
    <n v="23181"/>
    <n v="1.44"/>
  </r>
  <r>
    <x v="8"/>
    <x v="3"/>
    <n v="39403"/>
    <n v="36069"/>
    <n v="644"/>
    <n v="2986"/>
    <n v="348"/>
    <n v="0.09"/>
  </r>
  <r>
    <x v="8"/>
    <x v="4"/>
    <n v="31787"/>
    <n v="16543"/>
    <n v="1025"/>
    <n v="842"/>
    <n v="14402"/>
    <n v="0.92"/>
  </r>
  <r>
    <x v="9"/>
    <x v="0"/>
    <n v="187581"/>
    <n v="119830"/>
    <n v="13283"/>
    <n v="8866"/>
    <n v="58885"/>
    <n v="0.56999999999999995"/>
  </r>
  <r>
    <x v="9"/>
    <x v="1"/>
    <n v="55837"/>
    <n v="44078"/>
    <n v="3885"/>
    <n v="3257"/>
    <n v="8502"/>
    <n v="0.27"/>
  </r>
  <r>
    <x v="9"/>
    <x v="2"/>
    <n v="45286"/>
    <n v="25920"/>
    <n v="5735"/>
    <n v="989"/>
    <n v="18377"/>
    <n v="0.75"/>
  </r>
  <r>
    <x v="9"/>
    <x v="3"/>
    <n v="23846"/>
    <n v="13647"/>
    <n v="871"/>
    <n v="1517"/>
    <n v="8682"/>
    <n v="0.75"/>
  </r>
  <r>
    <x v="9"/>
    <x v="4"/>
    <n v="89119"/>
    <n v="83724"/>
    <n v="3521"/>
    <n v="7253"/>
    <n v="-1858"/>
    <n v="0.06"/>
  </r>
  <r>
    <x v="10"/>
    <x v="0"/>
    <n v="261795"/>
    <n v="122964"/>
    <n v="46709"/>
    <n v="12283"/>
    <n v="126548"/>
    <n v="1.1299999999999999"/>
  </r>
  <r>
    <x v="10"/>
    <x v="1"/>
    <n v="24711"/>
    <n v="15981"/>
    <n v="1430"/>
    <n v="2892"/>
    <n v="5838"/>
    <n v="0.55000000000000004"/>
  </r>
  <r>
    <x v="10"/>
    <x v="2"/>
    <n v="85906"/>
    <n v="36883"/>
    <n v="15911"/>
    <n v="7125"/>
    <n v="41898"/>
    <n v="1.33"/>
  </r>
  <r>
    <x v="10"/>
    <x v="3"/>
    <n v="41910"/>
    <n v="28028"/>
    <n v="2525"/>
    <n v="4381"/>
    <n v="9501"/>
    <n v="0.5"/>
  </r>
  <r>
    <x v="10"/>
    <x v="4"/>
    <n v="78783"/>
    <n v="35824"/>
    <n v="3010"/>
    <n v="6897"/>
    <n v="36062"/>
    <n v="1.2"/>
  </r>
  <r>
    <x v="11"/>
    <x v="0"/>
    <n v="179949"/>
    <n v="80675"/>
    <n v="28832"/>
    <n v="14045"/>
    <n v="85229"/>
    <n v="1.23"/>
  </r>
  <r>
    <x v="11"/>
    <x v="1"/>
    <n v="1757"/>
    <n v="960"/>
    <n v="75"/>
    <n v="80"/>
    <n v="717"/>
    <n v="0.83"/>
  </r>
  <r>
    <x v="11"/>
    <x v="2"/>
    <n v="71810"/>
    <n v="46349"/>
    <n v="16808"/>
    <n v="2007"/>
    <n v="23454"/>
    <n v="0.55000000000000004"/>
  </r>
  <r>
    <x v="11"/>
    <x v="3"/>
    <n v="97823"/>
    <n v="75942"/>
    <n v="3287"/>
    <n v="6348"/>
    <n v="15533"/>
    <n v="0.28999999999999998"/>
  </r>
  <r>
    <x v="11"/>
    <x v="4"/>
    <n v="100590"/>
    <n v="58491"/>
    <n v="4839"/>
    <n v="3325"/>
    <n v="38774"/>
    <n v="0.7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176250"/>
    <n v="102043"/>
    <n v="14260"/>
    <n v="14695"/>
    <n v="59512"/>
    <n v="0.73"/>
  </r>
  <r>
    <x v="0"/>
    <x v="1"/>
    <n v="33478"/>
    <n v="23869"/>
    <n v="1060"/>
    <n v="1760"/>
    <n v="7849"/>
    <n v="0.4"/>
  </r>
  <r>
    <x v="0"/>
    <x v="2"/>
    <n v="56406"/>
    <n v="51069"/>
    <n v="18311"/>
    <n v="5327"/>
    <n v="10"/>
    <n v="0.1"/>
  </r>
  <r>
    <x v="0"/>
    <x v="3"/>
    <n v="2590"/>
    <n v="2224"/>
    <n v="92"/>
    <n v="68"/>
    <n v="298"/>
    <n v="0.16"/>
  </r>
  <r>
    <x v="0"/>
    <x v="4"/>
    <n v="14614"/>
    <n v="10419"/>
    <n v="797"/>
    <n v="1437"/>
    <n v="2758"/>
    <n v="0.4"/>
  </r>
  <r>
    <x v="1"/>
    <x v="0"/>
    <n v="213930"/>
    <n v="121086"/>
    <n v="33976"/>
    <n v="17562"/>
    <n v="75282"/>
    <n v="0.77"/>
  </r>
  <r>
    <x v="1"/>
    <x v="1"/>
    <n v="66634"/>
    <n v="62861"/>
    <n v="674"/>
    <n v="4247"/>
    <n v="-474"/>
    <n v="0.06"/>
  </r>
  <r>
    <x v="1"/>
    <x v="2"/>
    <n v="70331"/>
    <n v="38036"/>
    <n v="3953"/>
    <n v="7817"/>
    <n v="24478"/>
    <n v="0.85"/>
  </r>
  <r>
    <x v="1"/>
    <x v="3"/>
    <n v="34584"/>
    <n v="14915"/>
    <n v="219"/>
    <n v="2169"/>
    <n v="17500"/>
    <n v="1.32"/>
  </r>
  <r>
    <x v="1"/>
    <x v="4"/>
    <n v="75045"/>
    <n v="68478"/>
    <n v="2446"/>
    <n v="4706"/>
    <n v="1861"/>
    <n v="0.1"/>
  </r>
  <r>
    <x v="2"/>
    <x v="0"/>
    <n v="199537"/>
    <n v="156257"/>
    <n v="26878"/>
    <n v="9911"/>
    <n v="33369"/>
    <n v="0.28000000000000003"/>
  </r>
  <r>
    <x v="2"/>
    <x v="1"/>
    <n v="21362"/>
    <n v="18437"/>
    <n v="201"/>
    <n v="1786"/>
    <n v="1139"/>
    <n v="0.16"/>
  </r>
  <r>
    <x v="2"/>
    <x v="2"/>
    <n v="2928"/>
    <n v="2230"/>
    <n v="949"/>
    <n v="222"/>
    <n v="476"/>
    <n v="0.31"/>
  </r>
  <r>
    <x v="2"/>
    <x v="3"/>
    <n v="25225"/>
    <n v="10521"/>
    <n v="542"/>
    <n v="1671"/>
    <n v="13033"/>
    <n v="1.4"/>
  </r>
  <r>
    <x v="2"/>
    <x v="4"/>
    <n v="109313"/>
    <n v="44886"/>
    <n v="2476"/>
    <n v="8617"/>
    <n v="55810"/>
    <n v="1.44"/>
  </r>
  <r>
    <x v="3"/>
    <x v="0"/>
    <n v="215195"/>
    <n v="126716"/>
    <n v="44447"/>
    <n v="9214"/>
    <n v="79265"/>
    <n v="0.7"/>
  </r>
  <r>
    <x v="3"/>
    <x v="1"/>
    <n v="53960"/>
    <n v="31914"/>
    <n v="1314"/>
    <n v="4293"/>
    <n v="17753"/>
    <n v="0.69"/>
  </r>
  <r>
    <x v="3"/>
    <x v="2"/>
    <n v="48437"/>
    <n v="45241"/>
    <n v="22276"/>
    <n v="3776"/>
    <n v="-580"/>
    <n v="7.0000000000000007E-2"/>
  </r>
  <r>
    <x v="3"/>
    <x v="3"/>
    <n v="0"/>
    <n v="0"/>
    <n v="0"/>
    <n v="0"/>
    <n v="0"/>
    <n v="0"/>
  </r>
  <r>
    <x v="3"/>
    <x v="4"/>
    <n v="80454"/>
    <n v="68513"/>
    <n v="4050"/>
    <n v="4329"/>
    <n v="7612"/>
    <n v="0.17"/>
  </r>
  <r>
    <x v="4"/>
    <x v="0"/>
    <n v="216787"/>
    <n v="111521"/>
    <n v="21828"/>
    <n v="18134"/>
    <n v="87132"/>
    <n v="0.94"/>
  </r>
  <r>
    <x v="4"/>
    <x v="1"/>
    <n v="5416"/>
    <n v="4792"/>
    <n v="277"/>
    <n v="519"/>
    <n v="105"/>
    <n v="0.13"/>
  </r>
  <r>
    <x v="4"/>
    <x v="2"/>
    <n v="71967"/>
    <n v="38517"/>
    <n v="16949"/>
    <n v="4579"/>
    <n v="28871"/>
    <n v="0.87"/>
  </r>
  <r>
    <x v="4"/>
    <x v="3"/>
    <n v="85160"/>
    <n v="36134"/>
    <n v="1156"/>
    <n v="8222"/>
    <n v="40804"/>
    <n v="1.36"/>
  </r>
  <r>
    <x v="4"/>
    <x v="4"/>
    <n v="69564"/>
    <n v="52072"/>
    <n v="1562"/>
    <n v="1762"/>
    <n v="15730"/>
    <n v="0.34"/>
  </r>
  <r>
    <x v="5"/>
    <x v="0"/>
    <n v="209678"/>
    <n v="154809"/>
    <n v="11042"/>
    <n v="17040"/>
    <n v="37829"/>
    <n v="0.35"/>
  </r>
  <r>
    <x v="5"/>
    <x v="1"/>
    <n v="57430"/>
    <n v="37978"/>
    <n v="1145"/>
    <n v="6048"/>
    <n v="13404"/>
    <n v="0.51"/>
  </r>
  <r>
    <x v="5"/>
    <x v="2"/>
    <n v="44961"/>
    <n v="24266"/>
    <n v="4561"/>
    <n v="4650"/>
    <n v="16045"/>
    <n v="0.85"/>
  </r>
  <r>
    <x v="5"/>
    <x v="3"/>
    <n v="26318"/>
    <n v="15559"/>
    <n v="318"/>
    <n v="628"/>
    <n v="10131"/>
    <n v="0.69"/>
  </r>
  <r>
    <x v="5"/>
    <x v="4"/>
    <n v="0"/>
    <n v="0"/>
    <n v="0"/>
    <n v="0"/>
    <n v="0"/>
    <n v="0"/>
  </r>
  <r>
    <x v="6"/>
    <x v="0"/>
    <n v="207864"/>
    <n v="196061"/>
    <n v="51573"/>
    <n v="20837"/>
    <n v="-9034"/>
    <n v="0.06"/>
  </r>
  <r>
    <x v="6"/>
    <x v="1"/>
    <n v="46387"/>
    <n v="37349"/>
    <n v="1372"/>
    <n v="1199"/>
    <n v="7839"/>
    <n v="0.24"/>
  </r>
  <r>
    <x v="6"/>
    <x v="2"/>
    <n v="55189"/>
    <n v="44270"/>
    <n v="15448"/>
    <n v="1824"/>
    <n v="9095"/>
    <n v="0.25"/>
  </r>
  <r>
    <x v="6"/>
    <x v="3"/>
    <n v="44517"/>
    <n v="33475"/>
    <n v="2661"/>
    <n v="4721"/>
    <n v="6321"/>
    <n v="0.33"/>
  </r>
  <r>
    <x v="6"/>
    <x v="4"/>
    <n v="20238"/>
    <n v="16622"/>
    <n v="268"/>
    <n v="2077"/>
    <n v="1539"/>
    <n v="0.22"/>
  </r>
  <r>
    <x v="7"/>
    <x v="0"/>
    <n v="211477"/>
    <n v="115056"/>
    <n v="41418"/>
    <n v="23763"/>
    <n v="72658"/>
    <n v="0.84"/>
  </r>
  <r>
    <x v="7"/>
    <x v="1"/>
    <n v="51156"/>
    <n v="33492"/>
    <n v="810"/>
    <n v="4042"/>
    <n v="13622"/>
    <n v="0.53"/>
  </r>
  <r>
    <x v="7"/>
    <x v="2"/>
    <n v="0"/>
    <n v="0"/>
    <n v="0"/>
    <n v="0"/>
    <n v="0"/>
    <n v="0"/>
  </r>
  <r>
    <x v="7"/>
    <x v="3"/>
    <n v="104421"/>
    <n v="87758"/>
    <n v="4775"/>
    <n v="3293"/>
    <n v="13370"/>
    <n v="0.19"/>
  </r>
  <r>
    <x v="7"/>
    <x v="4"/>
    <n v="52489"/>
    <n v="33638"/>
    <n v="2886"/>
    <n v="4181"/>
    <n v="14670"/>
    <n v="0.56000000000000005"/>
  </r>
  <r>
    <x v="8"/>
    <x v="0"/>
    <n v="175221"/>
    <n v="163023"/>
    <n v="37794"/>
    <n v="14957"/>
    <n v="-2759"/>
    <n v="7.0000000000000007E-2"/>
  </r>
  <r>
    <x v="8"/>
    <x v="1"/>
    <n v="67671"/>
    <n v="27770"/>
    <n v="595"/>
    <n v="6645"/>
    <n v="33256"/>
    <n v="1.44"/>
  </r>
  <r>
    <x v="8"/>
    <x v="2"/>
    <n v="46814"/>
    <n v="19175"/>
    <n v="2618"/>
    <n v="4458"/>
    <n v="23181"/>
    <n v="1.44"/>
  </r>
  <r>
    <x v="8"/>
    <x v="3"/>
    <n v="39403"/>
    <n v="36069"/>
    <n v="644"/>
    <n v="2986"/>
    <n v="348"/>
    <n v="0.09"/>
  </r>
  <r>
    <x v="8"/>
    <x v="4"/>
    <n v="31787"/>
    <n v="16543"/>
    <n v="1025"/>
    <n v="842"/>
    <n v="14402"/>
    <n v="0.92"/>
  </r>
  <r>
    <x v="9"/>
    <x v="0"/>
    <n v="187581"/>
    <n v="119830"/>
    <n v="13283"/>
    <n v="8866"/>
    <n v="58885"/>
    <n v="0.56999999999999995"/>
  </r>
  <r>
    <x v="9"/>
    <x v="1"/>
    <n v="55837"/>
    <n v="44078"/>
    <n v="3885"/>
    <n v="3257"/>
    <n v="8502"/>
    <n v="0.27"/>
  </r>
  <r>
    <x v="9"/>
    <x v="2"/>
    <n v="45286"/>
    <n v="25920"/>
    <n v="5735"/>
    <n v="989"/>
    <n v="18377"/>
    <n v="0.75"/>
  </r>
  <r>
    <x v="9"/>
    <x v="3"/>
    <n v="23846"/>
    <n v="13647"/>
    <n v="871"/>
    <n v="1517"/>
    <n v="8682"/>
    <n v="0.75"/>
  </r>
  <r>
    <x v="9"/>
    <x v="4"/>
    <n v="89119"/>
    <n v="83724"/>
    <n v="3521"/>
    <n v="7253"/>
    <n v="-1858"/>
    <n v="0.06"/>
  </r>
  <r>
    <x v="10"/>
    <x v="0"/>
    <n v="261795"/>
    <n v="122964"/>
    <n v="46709"/>
    <n v="12283"/>
    <n v="126548"/>
    <n v="1.1299999999999999"/>
  </r>
  <r>
    <x v="10"/>
    <x v="1"/>
    <n v="24711"/>
    <n v="15981"/>
    <n v="1430"/>
    <n v="2892"/>
    <n v="5838"/>
    <n v="0.55000000000000004"/>
  </r>
  <r>
    <x v="10"/>
    <x v="2"/>
    <n v="85906"/>
    <n v="36883"/>
    <n v="15911"/>
    <n v="7125"/>
    <n v="41898"/>
    <n v="1.33"/>
  </r>
  <r>
    <x v="10"/>
    <x v="3"/>
    <n v="41910"/>
    <n v="28028"/>
    <n v="2525"/>
    <n v="4381"/>
    <n v="9501"/>
    <n v="0.5"/>
  </r>
  <r>
    <x v="10"/>
    <x v="4"/>
    <n v="78783"/>
    <n v="35824"/>
    <n v="3010"/>
    <n v="6897"/>
    <n v="36062"/>
    <n v="1.2"/>
  </r>
  <r>
    <x v="11"/>
    <x v="0"/>
    <n v="179949"/>
    <n v="80675"/>
    <n v="28832"/>
    <n v="14045"/>
    <n v="85229"/>
    <n v="1.23"/>
  </r>
  <r>
    <x v="11"/>
    <x v="1"/>
    <n v="1757"/>
    <n v="960"/>
    <n v="75"/>
    <n v="80"/>
    <n v="717"/>
    <n v="0.83"/>
  </r>
  <r>
    <x v="11"/>
    <x v="2"/>
    <n v="71810"/>
    <n v="46349"/>
    <n v="16808"/>
    <n v="2007"/>
    <n v="23454"/>
    <n v="0.55000000000000004"/>
  </r>
  <r>
    <x v="11"/>
    <x v="3"/>
    <n v="97823"/>
    <n v="75942"/>
    <n v="3287"/>
    <n v="6348"/>
    <n v="15533"/>
    <n v="0.28999999999999998"/>
  </r>
  <r>
    <x v="11"/>
    <x v="4"/>
    <n v="100590"/>
    <n v="58491"/>
    <n v="4839"/>
    <n v="3325"/>
    <n v="38774"/>
    <n v="0.7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176250"/>
    <n v="102043"/>
    <n v="14260"/>
    <n v="14695"/>
    <n v="59512"/>
    <n v="0.73"/>
  </r>
  <r>
    <x v="0"/>
    <x v="1"/>
    <n v="33478"/>
    <n v="23869"/>
    <n v="1060"/>
    <n v="1760"/>
    <n v="7849"/>
    <n v="0.4"/>
  </r>
  <r>
    <x v="0"/>
    <x v="2"/>
    <n v="56406"/>
    <n v="51069"/>
    <n v="18311"/>
    <n v="5327"/>
    <n v="10"/>
    <n v="0.1"/>
  </r>
  <r>
    <x v="0"/>
    <x v="3"/>
    <n v="2590"/>
    <n v="2224"/>
    <n v="92"/>
    <n v="68"/>
    <n v="298"/>
    <n v="0.16"/>
  </r>
  <r>
    <x v="0"/>
    <x v="4"/>
    <n v="14614"/>
    <n v="10419"/>
    <n v="797"/>
    <n v="1437"/>
    <n v="2758"/>
    <n v="0.4"/>
  </r>
  <r>
    <x v="1"/>
    <x v="0"/>
    <n v="213930"/>
    <n v="121086"/>
    <n v="33976"/>
    <n v="17562"/>
    <n v="75282"/>
    <n v="0.77"/>
  </r>
  <r>
    <x v="1"/>
    <x v="1"/>
    <n v="66634"/>
    <n v="62861"/>
    <n v="674"/>
    <n v="4247"/>
    <n v="-474"/>
    <n v="0.06"/>
  </r>
  <r>
    <x v="1"/>
    <x v="2"/>
    <n v="70331"/>
    <n v="38036"/>
    <n v="3953"/>
    <n v="7817"/>
    <n v="24478"/>
    <n v="0.85"/>
  </r>
  <r>
    <x v="1"/>
    <x v="3"/>
    <n v="34584"/>
    <n v="14915"/>
    <n v="219"/>
    <n v="2169"/>
    <n v="17500"/>
    <n v="1.32"/>
  </r>
  <r>
    <x v="1"/>
    <x v="4"/>
    <n v="75045"/>
    <n v="68478"/>
    <n v="2446"/>
    <n v="4706"/>
    <n v="1861"/>
    <n v="0.1"/>
  </r>
  <r>
    <x v="2"/>
    <x v="0"/>
    <n v="199537"/>
    <n v="156257"/>
    <n v="26878"/>
    <n v="9911"/>
    <n v="33369"/>
    <n v="0.28000000000000003"/>
  </r>
  <r>
    <x v="2"/>
    <x v="1"/>
    <n v="21362"/>
    <n v="18437"/>
    <n v="201"/>
    <n v="1786"/>
    <n v="1139"/>
    <n v="0.16"/>
  </r>
  <r>
    <x v="2"/>
    <x v="2"/>
    <n v="2928"/>
    <n v="2230"/>
    <n v="949"/>
    <n v="222"/>
    <n v="476"/>
    <n v="0.31"/>
  </r>
  <r>
    <x v="2"/>
    <x v="3"/>
    <n v="25225"/>
    <n v="10521"/>
    <n v="542"/>
    <n v="1671"/>
    <n v="13033"/>
    <n v="1.4"/>
  </r>
  <r>
    <x v="2"/>
    <x v="4"/>
    <n v="109313"/>
    <n v="44886"/>
    <n v="2476"/>
    <n v="8617"/>
    <n v="55810"/>
    <n v="1.44"/>
  </r>
  <r>
    <x v="3"/>
    <x v="0"/>
    <n v="215195"/>
    <n v="126716"/>
    <n v="44447"/>
    <n v="9214"/>
    <n v="79265"/>
    <n v="0.7"/>
  </r>
  <r>
    <x v="3"/>
    <x v="1"/>
    <n v="53960"/>
    <n v="31914"/>
    <n v="1314"/>
    <n v="4293"/>
    <n v="17753"/>
    <n v="0.69"/>
  </r>
  <r>
    <x v="3"/>
    <x v="2"/>
    <n v="48437"/>
    <n v="45241"/>
    <n v="22276"/>
    <n v="3776"/>
    <n v="-580"/>
    <n v="7.0000000000000007E-2"/>
  </r>
  <r>
    <x v="3"/>
    <x v="3"/>
    <n v="0"/>
    <n v="0"/>
    <n v="0"/>
    <n v="0"/>
    <n v="0"/>
    <n v="0"/>
  </r>
  <r>
    <x v="3"/>
    <x v="4"/>
    <n v="80454"/>
    <n v="68513"/>
    <n v="4050"/>
    <n v="4329"/>
    <n v="7612"/>
    <n v="0.17"/>
  </r>
  <r>
    <x v="4"/>
    <x v="0"/>
    <n v="216787"/>
    <n v="111521"/>
    <n v="21828"/>
    <n v="18134"/>
    <n v="87132"/>
    <n v="0.94"/>
  </r>
  <r>
    <x v="4"/>
    <x v="1"/>
    <n v="5416"/>
    <n v="4792"/>
    <n v="277"/>
    <n v="519"/>
    <n v="105"/>
    <n v="0.13"/>
  </r>
  <r>
    <x v="4"/>
    <x v="2"/>
    <n v="71967"/>
    <n v="38517"/>
    <n v="16949"/>
    <n v="4579"/>
    <n v="28871"/>
    <n v="0.87"/>
  </r>
  <r>
    <x v="4"/>
    <x v="3"/>
    <n v="85160"/>
    <n v="36134"/>
    <n v="1156"/>
    <n v="8222"/>
    <n v="40804"/>
    <n v="1.36"/>
  </r>
  <r>
    <x v="4"/>
    <x v="4"/>
    <n v="69564"/>
    <n v="52072"/>
    <n v="1562"/>
    <n v="1762"/>
    <n v="15730"/>
    <n v="0.34"/>
  </r>
  <r>
    <x v="5"/>
    <x v="0"/>
    <n v="209678"/>
    <n v="154809"/>
    <n v="11042"/>
    <n v="17040"/>
    <n v="37829"/>
    <n v="0.35"/>
  </r>
  <r>
    <x v="5"/>
    <x v="1"/>
    <n v="57430"/>
    <n v="37978"/>
    <n v="1145"/>
    <n v="6048"/>
    <n v="13404"/>
    <n v="0.51"/>
  </r>
  <r>
    <x v="5"/>
    <x v="2"/>
    <n v="44961"/>
    <n v="24266"/>
    <n v="4561"/>
    <n v="4650"/>
    <n v="16045"/>
    <n v="0.85"/>
  </r>
  <r>
    <x v="5"/>
    <x v="3"/>
    <n v="26318"/>
    <n v="15559"/>
    <n v="318"/>
    <n v="628"/>
    <n v="10131"/>
    <n v="0.69"/>
  </r>
  <r>
    <x v="5"/>
    <x v="4"/>
    <n v="0"/>
    <n v="0"/>
    <n v="0"/>
    <n v="0"/>
    <n v="0"/>
    <n v="0"/>
  </r>
  <r>
    <x v="6"/>
    <x v="0"/>
    <n v="207864"/>
    <n v="196061"/>
    <n v="51573"/>
    <n v="20837"/>
    <n v="-9034"/>
    <n v="0.06"/>
  </r>
  <r>
    <x v="6"/>
    <x v="1"/>
    <n v="46387"/>
    <n v="37349"/>
    <n v="1372"/>
    <n v="1199"/>
    <n v="7839"/>
    <n v="0.24"/>
  </r>
  <r>
    <x v="6"/>
    <x v="2"/>
    <n v="55189"/>
    <n v="44270"/>
    <n v="15448"/>
    <n v="1824"/>
    <n v="9095"/>
    <n v="0.25"/>
  </r>
  <r>
    <x v="6"/>
    <x v="3"/>
    <n v="44517"/>
    <n v="33475"/>
    <n v="2661"/>
    <n v="4721"/>
    <n v="6321"/>
    <n v="0.33"/>
  </r>
  <r>
    <x v="6"/>
    <x v="4"/>
    <n v="20238"/>
    <n v="16622"/>
    <n v="268"/>
    <n v="2077"/>
    <n v="1539"/>
    <n v="0.22"/>
  </r>
  <r>
    <x v="7"/>
    <x v="0"/>
    <n v="211477"/>
    <n v="115056"/>
    <n v="41418"/>
    <n v="23763"/>
    <n v="72658"/>
    <n v="0.84"/>
  </r>
  <r>
    <x v="7"/>
    <x v="1"/>
    <n v="51156"/>
    <n v="33492"/>
    <n v="810"/>
    <n v="4042"/>
    <n v="13622"/>
    <n v="0.53"/>
  </r>
  <r>
    <x v="7"/>
    <x v="2"/>
    <n v="0"/>
    <n v="0"/>
    <n v="0"/>
    <n v="0"/>
    <n v="0"/>
    <n v="0"/>
  </r>
  <r>
    <x v="7"/>
    <x v="3"/>
    <n v="104421"/>
    <n v="87758"/>
    <n v="4775"/>
    <n v="3293"/>
    <n v="13370"/>
    <n v="0.19"/>
  </r>
  <r>
    <x v="7"/>
    <x v="4"/>
    <n v="52489"/>
    <n v="33638"/>
    <n v="2886"/>
    <n v="4181"/>
    <n v="14670"/>
    <n v="0.56000000000000005"/>
  </r>
  <r>
    <x v="8"/>
    <x v="0"/>
    <n v="175221"/>
    <n v="163023"/>
    <n v="37794"/>
    <n v="14957"/>
    <n v="-2759"/>
    <n v="7.0000000000000007E-2"/>
  </r>
  <r>
    <x v="8"/>
    <x v="1"/>
    <n v="67671"/>
    <n v="27770"/>
    <n v="595"/>
    <n v="6645"/>
    <n v="33256"/>
    <n v="1.44"/>
  </r>
  <r>
    <x v="8"/>
    <x v="2"/>
    <n v="46814"/>
    <n v="19175"/>
    <n v="2618"/>
    <n v="4458"/>
    <n v="23181"/>
    <n v="1.44"/>
  </r>
  <r>
    <x v="8"/>
    <x v="3"/>
    <n v="39403"/>
    <n v="36069"/>
    <n v="644"/>
    <n v="2986"/>
    <n v="348"/>
    <n v="0.09"/>
  </r>
  <r>
    <x v="8"/>
    <x v="4"/>
    <n v="31787"/>
    <n v="16543"/>
    <n v="1025"/>
    <n v="842"/>
    <n v="14402"/>
    <n v="0.92"/>
  </r>
  <r>
    <x v="9"/>
    <x v="0"/>
    <n v="187581"/>
    <n v="119830"/>
    <n v="13283"/>
    <n v="8866"/>
    <n v="58885"/>
    <n v="0.56999999999999995"/>
  </r>
  <r>
    <x v="9"/>
    <x v="1"/>
    <n v="55837"/>
    <n v="44078"/>
    <n v="3885"/>
    <n v="3257"/>
    <n v="8502"/>
    <n v="0.27"/>
  </r>
  <r>
    <x v="9"/>
    <x v="2"/>
    <n v="45286"/>
    <n v="25920"/>
    <n v="5735"/>
    <n v="989"/>
    <n v="18377"/>
    <n v="0.75"/>
  </r>
  <r>
    <x v="9"/>
    <x v="3"/>
    <n v="23846"/>
    <n v="13647"/>
    <n v="871"/>
    <n v="1517"/>
    <n v="8682"/>
    <n v="0.75"/>
  </r>
  <r>
    <x v="9"/>
    <x v="4"/>
    <n v="89119"/>
    <n v="83724"/>
    <n v="3521"/>
    <n v="7253"/>
    <n v="-1858"/>
    <n v="0.06"/>
  </r>
  <r>
    <x v="10"/>
    <x v="0"/>
    <n v="261795"/>
    <n v="122964"/>
    <n v="46709"/>
    <n v="12283"/>
    <n v="126548"/>
    <n v="1.1299999999999999"/>
  </r>
  <r>
    <x v="10"/>
    <x v="1"/>
    <n v="24711"/>
    <n v="15981"/>
    <n v="1430"/>
    <n v="2892"/>
    <n v="5838"/>
    <n v="0.55000000000000004"/>
  </r>
  <r>
    <x v="10"/>
    <x v="2"/>
    <n v="85906"/>
    <n v="36883"/>
    <n v="15911"/>
    <n v="7125"/>
    <n v="41898"/>
    <n v="1.33"/>
  </r>
  <r>
    <x v="10"/>
    <x v="3"/>
    <n v="41910"/>
    <n v="28028"/>
    <n v="2525"/>
    <n v="4381"/>
    <n v="9501"/>
    <n v="0.5"/>
  </r>
  <r>
    <x v="10"/>
    <x v="4"/>
    <n v="78783"/>
    <n v="35824"/>
    <n v="3010"/>
    <n v="6897"/>
    <n v="36062"/>
    <n v="1.2"/>
  </r>
  <r>
    <x v="11"/>
    <x v="0"/>
    <n v="179949"/>
    <n v="80675"/>
    <n v="28832"/>
    <n v="14045"/>
    <n v="85229"/>
    <n v="1.23"/>
  </r>
  <r>
    <x v="11"/>
    <x v="1"/>
    <n v="1757"/>
    <n v="960"/>
    <n v="75"/>
    <n v="80"/>
    <n v="717"/>
    <n v="0.83"/>
  </r>
  <r>
    <x v="11"/>
    <x v="2"/>
    <n v="71810"/>
    <n v="46349"/>
    <n v="16808"/>
    <n v="2007"/>
    <n v="23454"/>
    <n v="0.55000000000000004"/>
  </r>
  <r>
    <x v="11"/>
    <x v="3"/>
    <n v="97823"/>
    <n v="75942"/>
    <n v="3287"/>
    <n v="6348"/>
    <n v="15533"/>
    <n v="0.28999999999999998"/>
  </r>
  <r>
    <x v="11"/>
    <x v="4"/>
    <n v="100590"/>
    <n v="58491"/>
    <n v="4839"/>
    <n v="3325"/>
    <n v="38774"/>
    <n v="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66681D-DDAB-4118-A9CD-E9A16FA42D5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fieldListSortAscending="1">
  <location ref="A1:B7" firstHeaderRow="1" firstDataRow="1" firstDataCol="1"/>
  <pivotFields count="8">
    <pivotField showAll="0">
      <items count="13">
        <item x="0"/>
        <item x="1"/>
        <item x="2"/>
        <item x="3"/>
        <item x="4"/>
        <item x="5"/>
        <item x="6"/>
        <item x="7"/>
        <item x="8"/>
        <item x="9"/>
        <item x="10"/>
        <item x="11"/>
        <item t="default"/>
      </items>
    </pivotField>
    <pivotField axis="axisRow" showAll="0">
      <items count="6">
        <item x="1"/>
        <item x="3"/>
        <item x="2"/>
        <item x="4"/>
        <item x="0"/>
        <item t="default"/>
      </items>
    </pivotField>
    <pivotField dataField="1" showAll="0">
      <items count="59">
        <item x="18"/>
        <item x="54"/>
        <item x="3"/>
        <item x="12"/>
        <item x="21"/>
        <item x="4"/>
        <item x="33"/>
        <item x="11"/>
        <item x="46"/>
        <item x="49"/>
        <item x="13"/>
        <item x="28"/>
        <item x="42"/>
        <item x="1"/>
        <item x="8"/>
        <item x="41"/>
        <item x="51"/>
        <item x="32"/>
        <item x="27"/>
        <item x="45"/>
        <item x="30"/>
        <item x="40"/>
        <item x="17"/>
        <item x="35"/>
        <item x="37"/>
        <item x="16"/>
        <item x="31"/>
        <item x="44"/>
        <item x="2"/>
        <item x="26"/>
        <item x="6"/>
        <item x="39"/>
        <item x="24"/>
        <item x="7"/>
        <item x="55"/>
        <item x="22"/>
        <item x="9"/>
        <item x="52"/>
        <item x="19"/>
        <item x="23"/>
        <item x="50"/>
        <item x="47"/>
        <item x="56"/>
        <item x="57"/>
        <item x="36"/>
        <item x="14"/>
        <item x="38"/>
        <item x="0"/>
        <item x="53"/>
        <item x="43"/>
        <item x="10"/>
        <item x="29"/>
        <item x="25"/>
        <item x="34"/>
        <item x="5"/>
        <item x="15"/>
        <item x="20"/>
        <item x="48"/>
        <item t="default"/>
      </items>
    </pivotField>
    <pivotField showAll="0">
      <items count="59">
        <item x="18"/>
        <item x="54"/>
        <item x="3"/>
        <item x="12"/>
        <item x="21"/>
        <item x="4"/>
        <item x="13"/>
        <item x="46"/>
        <item x="8"/>
        <item x="28"/>
        <item x="49"/>
        <item x="42"/>
        <item x="33"/>
        <item x="11"/>
        <item x="40"/>
        <item x="1"/>
        <item x="27"/>
        <item x="45"/>
        <item x="39"/>
        <item x="51"/>
        <item x="16"/>
        <item x="32"/>
        <item x="35"/>
        <item x="37"/>
        <item x="52"/>
        <item x="41"/>
        <item x="23"/>
        <item x="50"/>
        <item x="30"/>
        <item x="26"/>
        <item x="7"/>
        <item x="22"/>
        <item x="44"/>
        <item x="31"/>
        <item x="14"/>
        <item x="17"/>
        <item x="55"/>
        <item x="2"/>
        <item x="24"/>
        <item x="57"/>
        <item x="6"/>
        <item x="9"/>
        <item x="19"/>
        <item x="56"/>
        <item x="53"/>
        <item x="47"/>
        <item x="36"/>
        <item x="0"/>
        <item x="20"/>
        <item x="34"/>
        <item x="43"/>
        <item x="5"/>
        <item x="48"/>
        <item x="15"/>
        <item x="25"/>
        <item x="10"/>
        <item x="38"/>
        <item x="29"/>
        <item t="default"/>
      </items>
    </pivotField>
    <pivotField showAll="0">
      <items count="59">
        <item x="18"/>
        <item x="54"/>
        <item x="3"/>
        <item x="11"/>
        <item x="8"/>
        <item x="33"/>
        <item x="21"/>
        <item x="28"/>
        <item x="13"/>
        <item x="39"/>
        <item x="41"/>
        <item x="6"/>
        <item x="4"/>
        <item x="35"/>
        <item x="46"/>
        <item x="12"/>
        <item x="42"/>
        <item x="1"/>
        <item x="26"/>
        <item x="23"/>
        <item x="16"/>
        <item x="30"/>
        <item x="49"/>
        <item x="24"/>
        <item x="9"/>
        <item x="14"/>
        <item x="51"/>
        <item x="40"/>
        <item x="32"/>
        <item x="37"/>
        <item x="52"/>
        <item x="56"/>
        <item x="47"/>
        <item x="44"/>
        <item x="7"/>
        <item x="19"/>
        <item x="27"/>
        <item x="36"/>
        <item x="57"/>
        <item x="45"/>
        <item x="25"/>
        <item x="43"/>
        <item x="0"/>
        <item x="31"/>
        <item x="50"/>
        <item x="55"/>
        <item x="22"/>
        <item x="2"/>
        <item x="20"/>
        <item x="17"/>
        <item x="10"/>
        <item x="53"/>
        <item x="5"/>
        <item x="38"/>
        <item x="34"/>
        <item x="15"/>
        <item x="48"/>
        <item x="29"/>
        <item t="default"/>
      </items>
    </pivotField>
    <pivotField showAll="0">
      <items count="59">
        <item x="18"/>
        <item x="3"/>
        <item x="54"/>
        <item x="12"/>
        <item x="21"/>
        <item x="28"/>
        <item x="42"/>
        <item x="45"/>
        <item x="30"/>
        <item x="4"/>
        <item x="46"/>
        <item x="13"/>
        <item x="1"/>
        <item x="24"/>
        <item x="11"/>
        <item x="31"/>
        <item x="55"/>
        <item x="33"/>
        <item x="8"/>
        <item x="49"/>
        <item x="41"/>
        <item x="44"/>
        <item x="36"/>
        <item x="57"/>
        <item x="17"/>
        <item x="35"/>
        <item x="37"/>
        <item x="6"/>
        <item x="16"/>
        <item x="19"/>
        <item x="51"/>
        <item x="40"/>
        <item x="22"/>
        <item x="27"/>
        <item x="9"/>
        <item x="32"/>
        <item x="2"/>
        <item x="26"/>
        <item x="56"/>
        <item x="39"/>
        <item x="52"/>
        <item x="50"/>
        <item x="47"/>
        <item x="7"/>
        <item x="23"/>
        <item x="14"/>
        <item x="43"/>
        <item x="15"/>
        <item x="10"/>
        <item x="48"/>
        <item x="53"/>
        <item x="0"/>
        <item x="38"/>
        <item x="25"/>
        <item x="5"/>
        <item x="20"/>
        <item x="29"/>
        <item x="34"/>
        <item t="default"/>
      </items>
    </pivotField>
    <pivotField showAll="0">
      <items count="59">
        <item x="29"/>
        <item x="38"/>
        <item x="47"/>
        <item x="17"/>
        <item x="6"/>
        <item x="18"/>
        <item x="2"/>
        <item x="21"/>
        <item x="3"/>
        <item x="41"/>
        <item x="12"/>
        <item x="54"/>
        <item x="11"/>
        <item x="33"/>
        <item x="9"/>
        <item x="4"/>
        <item x="49"/>
        <item x="32"/>
        <item x="19"/>
        <item x="30"/>
        <item x="1"/>
        <item x="44"/>
        <item x="46"/>
        <item x="31"/>
        <item x="51"/>
        <item x="28"/>
        <item x="13"/>
        <item x="36"/>
        <item x="26"/>
        <item x="35"/>
        <item x="42"/>
        <item x="37"/>
        <item x="56"/>
        <item x="24"/>
        <item x="27"/>
        <item x="8"/>
        <item x="16"/>
        <item x="45"/>
        <item x="40"/>
        <item x="55"/>
        <item x="7"/>
        <item x="22"/>
        <item x="39"/>
        <item x="10"/>
        <item x="52"/>
        <item x="25"/>
        <item x="57"/>
        <item x="23"/>
        <item x="50"/>
        <item x="14"/>
        <item x="43"/>
        <item x="0"/>
        <item x="34"/>
        <item x="5"/>
        <item x="15"/>
        <item x="53"/>
        <item x="20"/>
        <item x="48"/>
        <item t="default"/>
      </items>
    </pivotField>
    <pivotField showAll="0">
      <items count="47">
        <item x="15"/>
        <item x="5"/>
        <item x="14"/>
        <item x="32"/>
        <item x="2"/>
        <item x="18"/>
        <item x="3"/>
        <item x="16"/>
        <item x="30"/>
        <item x="27"/>
        <item x="24"/>
        <item x="25"/>
        <item x="35"/>
        <item x="8"/>
        <item x="44"/>
        <item x="9"/>
        <item x="26"/>
        <item x="21"/>
        <item x="22"/>
        <item x="1"/>
        <item x="40"/>
        <item x="23"/>
        <item x="29"/>
        <item x="38"/>
        <item x="31"/>
        <item x="34"/>
        <item x="13"/>
        <item x="12"/>
        <item x="45"/>
        <item x="0"/>
        <item x="36"/>
        <item x="4"/>
        <item x="43"/>
        <item x="28"/>
        <item x="6"/>
        <item x="19"/>
        <item x="33"/>
        <item x="17"/>
        <item x="37"/>
        <item x="41"/>
        <item x="42"/>
        <item x="7"/>
        <item x="39"/>
        <item x="20"/>
        <item x="10"/>
        <item x="11"/>
        <item t="default"/>
      </items>
    </pivotField>
  </pivotFields>
  <rowFields count="1">
    <field x="1"/>
  </rowFields>
  <rowItems count="6">
    <i>
      <x/>
    </i>
    <i>
      <x v="1"/>
    </i>
    <i>
      <x v="2"/>
    </i>
    <i>
      <x v="3"/>
    </i>
    <i>
      <x v="4"/>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F59842-F674-47D3-ABEA-671F5C6AB29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B7" firstHeaderRow="1" firstDataRow="1" firstDataCol="1"/>
  <pivotFields count="8">
    <pivotField showAll="0">
      <items count="13">
        <item x="0"/>
        <item x="1"/>
        <item x="2"/>
        <item x="3"/>
        <item x="4"/>
        <item x="5"/>
        <item x="6"/>
        <item x="7"/>
        <item x="8"/>
        <item x="9"/>
        <item x="10"/>
        <item x="11"/>
        <item t="default"/>
      </items>
    </pivotField>
    <pivotField axis="axisRow" showAll="0">
      <items count="6">
        <item x="1"/>
        <item x="3"/>
        <item x="2"/>
        <item x="4"/>
        <item x="0"/>
        <item t="default"/>
      </items>
    </pivotField>
    <pivotField showAll="0">
      <items count="59">
        <item x="18"/>
        <item x="54"/>
        <item x="3"/>
        <item x="12"/>
        <item x="21"/>
        <item x="4"/>
        <item x="33"/>
        <item x="11"/>
        <item x="46"/>
        <item x="49"/>
        <item x="13"/>
        <item x="28"/>
        <item x="42"/>
        <item x="1"/>
        <item x="8"/>
        <item x="41"/>
        <item x="51"/>
        <item x="32"/>
        <item x="27"/>
        <item x="45"/>
        <item x="30"/>
        <item x="40"/>
        <item x="17"/>
        <item x="35"/>
        <item x="37"/>
        <item x="16"/>
        <item x="31"/>
        <item x="44"/>
        <item x="2"/>
        <item x="26"/>
        <item x="6"/>
        <item x="39"/>
        <item x="24"/>
        <item x="7"/>
        <item x="55"/>
        <item x="22"/>
        <item x="9"/>
        <item x="52"/>
        <item x="19"/>
        <item x="23"/>
        <item x="50"/>
        <item x="47"/>
        <item x="56"/>
        <item x="57"/>
        <item x="36"/>
        <item x="14"/>
        <item x="38"/>
        <item x="0"/>
        <item x="53"/>
        <item x="43"/>
        <item x="10"/>
        <item x="29"/>
        <item x="25"/>
        <item x="34"/>
        <item x="5"/>
        <item x="15"/>
        <item x="20"/>
        <item x="48"/>
        <item t="default"/>
      </items>
    </pivotField>
    <pivotField showAll="0">
      <items count="59">
        <item x="18"/>
        <item x="54"/>
        <item x="3"/>
        <item x="12"/>
        <item x="21"/>
        <item x="4"/>
        <item x="13"/>
        <item x="46"/>
        <item x="8"/>
        <item x="28"/>
        <item x="49"/>
        <item x="42"/>
        <item x="33"/>
        <item x="11"/>
        <item x="40"/>
        <item x="1"/>
        <item x="27"/>
        <item x="45"/>
        <item x="39"/>
        <item x="51"/>
        <item x="16"/>
        <item x="32"/>
        <item x="35"/>
        <item x="37"/>
        <item x="52"/>
        <item x="41"/>
        <item x="23"/>
        <item x="50"/>
        <item x="30"/>
        <item x="26"/>
        <item x="7"/>
        <item x="22"/>
        <item x="44"/>
        <item x="31"/>
        <item x="14"/>
        <item x="17"/>
        <item x="55"/>
        <item x="2"/>
        <item x="24"/>
        <item x="57"/>
        <item x="6"/>
        <item x="9"/>
        <item x="19"/>
        <item x="56"/>
        <item x="53"/>
        <item x="47"/>
        <item x="36"/>
        <item x="0"/>
        <item x="20"/>
        <item x="34"/>
        <item x="43"/>
        <item x="5"/>
        <item x="48"/>
        <item x="15"/>
        <item x="25"/>
        <item x="10"/>
        <item x="38"/>
        <item x="29"/>
        <item t="default"/>
      </items>
    </pivotField>
    <pivotField showAll="0">
      <items count="59">
        <item x="18"/>
        <item x="54"/>
        <item x="3"/>
        <item x="11"/>
        <item x="8"/>
        <item x="33"/>
        <item x="21"/>
        <item x="28"/>
        <item x="13"/>
        <item x="39"/>
        <item x="41"/>
        <item x="6"/>
        <item x="4"/>
        <item x="35"/>
        <item x="46"/>
        <item x="12"/>
        <item x="42"/>
        <item x="1"/>
        <item x="26"/>
        <item x="23"/>
        <item x="16"/>
        <item x="30"/>
        <item x="49"/>
        <item x="24"/>
        <item x="9"/>
        <item x="14"/>
        <item x="51"/>
        <item x="40"/>
        <item x="32"/>
        <item x="37"/>
        <item x="52"/>
        <item x="56"/>
        <item x="47"/>
        <item x="44"/>
        <item x="7"/>
        <item x="19"/>
        <item x="27"/>
        <item x="36"/>
        <item x="57"/>
        <item x="45"/>
        <item x="25"/>
        <item x="43"/>
        <item x="0"/>
        <item x="31"/>
        <item x="50"/>
        <item x="55"/>
        <item x="22"/>
        <item x="2"/>
        <item x="20"/>
        <item x="17"/>
        <item x="10"/>
        <item x="53"/>
        <item x="5"/>
        <item x="38"/>
        <item x="34"/>
        <item x="15"/>
        <item x="48"/>
        <item x="29"/>
        <item t="default"/>
      </items>
    </pivotField>
    <pivotField showAll="0">
      <items count="59">
        <item x="18"/>
        <item x="3"/>
        <item x="54"/>
        <item x="12"/>
        <item x="21"/>
        <item x="28"/>
        <item x="42"/>
        <item x="45"/>
        <item x="30"/>
        <item x="4"/>
        <item x="46"/>
        <item x="13"/>
        <item x="1"/>
        <item x="24"/>
        <item x="11"/>
        <item x="31"/>
        <item x="55"/>
        <item x="33"/>
        <item x="8"/>
        <item x="49"/>
        <item x="41"/>
        <item x="44"/>
        <item x="36"/>
        <item x="57"/>
        <item x="17"/>
        <item x="35"/>
        <item x="37"/>
        <item x="6"/>
        <item x="16"/>
        <item x="19"/>
        <item x="51"/>
        <item x="40"/>
        <item x="22"/>
        <item x="27"/>
        <item x="9"/>
        <item x="32"/>
        <item x="2"/>
        <item x="26"/>
        <item x="56"/>
        <item x="39"/>
        <item x="52"/>
        <item x="50"/>
        <item x="47"/>
        <item x="7"/>
        <item x="23"/>
        <item x="14"/>
        <item x="43"/>
        <item x="15"/>
        <item x="10"/>
        <item x="48"/>
        <item x="53"/>
        <item x="0"/>
        <item x="38"/>
        <item x="25"/>
        <item x="5"/>
        <item x="20"/>
        <item x="29"/>
        <item x="34"/>
        <item t="default"/>
      </items>
    </pivotField>
    <pivotField dataField="1" showAll="0">
      <items count="59">
        <item x="29"/>
        <item x="38"/>
        <item x="47"/>
        <item x="17"/>
        <item x="6"/>
        <item x="18"/>
        <item x="2"/>
        <item x="21"/>
        <item x="3"/>
        <item x="41"/>
        <item x="12"/>
        <item x="54"/>
        <item x="11"/>
        <item x="33"/>
        <item x="9"/>
        <item x="4"/>
        <item x="49"/>
        <item x="32"/>
        <item x="19"/>
        <item x="30"/>
        <item x="1"/>
        <item x="44"/>
        <item x="46"/>
        <item x="31"/>
        <item x="51"/>
        <item x="28"/>
        <item x="13"/>
        <item x="36"/>
        <item x="26"/>
        <item x="35"/>
        <item x="42"/>
        <item x="37"/>
        <item x="56"/>
        <item x="24"/>
        <item x="27"/>
        <item x="8"/>
        <item x="16"/>
        <item x="45"/>
        <item x="40"/>
        <item x="55"/>
        <item x="7"/>
        <item x="22"/>
        <item x="39"/>
        <item x="10"/>
        <item x="52"/>
        <item x="25"/>
        <item x="57"/>
        <item x="23"/>
        <item x="50"/>
        <item x="14"/>
        <item x="43"/>
        <item x="0"/>
        <item x="34"/>
        <item x="5"/>
        <item x="15"/>
        <item x="53"/>
        <item x="20"/>
        <item x="48"/>
        <item t="default"/>
      </items>
    </pivotField>
    <pivotField showAll="0">
      <items count="47">
        <item x="15"/>
        <item x="5"/>
        <item x="14"/>
        <item x="32"/>
        <item x="2"/>
        <item x="18"/>
        <item x="3"/>
        <item x="16"/>
        <item x="30"/>
        <item x="27"/>
        <item x="24"/>
        <item x="25"/>
        <item x="35"/>
        <item x="8"/>
        <item x="44"/>
        <item x="9"/>
        <item x="26"/>
        <item x="21"/>
        <item x="22"/>
        <item x="1"/>
        <item x="40"/>
        <item x="23"/>
        <item x="29"/>
        <item x="38"/>
        <item x="31"/>
        <item x="34"/>
        <item x="13"/>
        <item x="12"/>
        <item x="45"/>
        <item x="0"/>
        <item x="36"/>
        <item x="4"/>
        <item x="43"/>
        <item x="28"/>
        <item x="6"/>
        <item x="19"/>
        <item x="33"/>
        <item x="17"/>
        <item x="37"/>
        <item x="41"/>
        <item x="42"/>
        <item x="7"/>
        <item x="39"/>
        <item x="20"/>
        <item x="10"/>
        <item x="11"/>
        <item t="default"/>
      </items>
    </pivotField>
  </pivotFields>
  <rowFields count="1">
    <field x="1"/>
  </rowFields>
  <rowItems count="6">
    <i>
      <x/>
    </i>
    <i>
      <x v="1"/>
    </i>
    <i>
      <x v="2"/>
    </i>
    <i>
      <x v="3"/>
    </i>
    <i>
      <x v="4"/>
    </i>
    <i t="grand">
      <x/>
    </i>
  </rowItems>
  <colItems count="1">
    <i/>
  </colItems>
  <dataFields count="1">
    <dataField name="Sum of Profit" fld="6" baseField="0" baseItem="0"/>
  </dataFields>
  <chartFormats count="12">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 count="1" selected="0">
            <x v="0"/>
          </reference>
        </references>
      </pivotArea>
    </chartFormat>
    <chartFormat chart="0" format="12">
      <pivotArea type="data" outline="0" fieldPosition="0">
        <references count="2">
          <reference field="4294967294" count="1" selected="0">
            <x v="0"/>
          </reference>
          <reference field="1" count="1" selected="0">
            <x v="1"/>
          </reference>
        </references>
      </pivotArea>
    </chartFormat>
    <chartFormat chart="0" format="13">
      <pivotArea type="data" outline="0" fieldPosition="0">
        <references count="2">
          <reference field="4294967294" count="1" selected="0">
            <x v="0"/>
          </reference>
          <reference field="1" count="1" selected="0">
            <x v="2"/>
          </reference>
        </references>
      </pivotArea>
    </chartFormat>
    <chartFormat chart="0" format="14">
      <pivotArea type="data" outline="0" fieldPosition="0">
        <references count="2">
          <reference field="4294967294" count="1" selected="0">
            <x v="0"/>
          </reference>
          <reference field="1" count="1" selected="0">
            <x v="3"/>
          </reference>
        </references>
      </pivotArea>
    </chartFormat>
    <chartFormat chart="0" format="15">
      <pivotArea type="data" outline="0" fieldPosition="0">
        <references count="2">
          <reference field="4294967294" count="1" selected="0">
            <x v="0"/>
          </reference>
          <reference field="1" count="1" selected="0">
            <x v="4"/>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1" count="1" selected="0">
            <x v="0"/>
          </reference>
        </references>
      </pivotArea>
    </chartFormat>
    <chartFormat chart="5" format="24">
      <pivotArea type="data" outline="0" fieldPosition="0">
        <references count="2">
          <reference field="4294967294" count="1" selected="0">
            <x v="0"/>
          </reference>
          <reference field="1" count="1" selected="0">
            <x v="1"/>
          </reference>
        </references>
      </pivotArea>
    </chartFormat>
    <chartFormat chart="5" format="25">
      <pivotArea type="data" outline="0" fieldPosition="0">
        <references count="2">
          <reference field="4294967294" count="1" selected="0">
            <x v="0"/>
          </reference>
          <reference field="1" count="1" selected="0">
            <x v="2"/>
          </reference>
        </references>
      </pivotArea>
    </chartFormat>
    <chartFormat chart="5" format="26">
      <pivotArea type="data" outline="0" fieldPosition="0">
        <references count="2">
          <reference field="4294967294" count="1" selected="0">
            <x v="0"/>
          </reference>
          <reference field="1" count="1" selected="0">
            <x v="3"/>
          </reference>
        </references>
      </pivotArea>
    </chartFormat>
    <chartFormat chart="5" format="2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20C9B-0654-4B8C-8B79-8AC3E2097AC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A1:B7" firstHeaderRow="1" firstDataRow="1" firstDataCol="1"/>
  <pivotFields count="8">
    <pivotField showAll="0"/>
    <pivotField axis="axisRow" showAll="0">
      <items count="6">
        <item x="1"/>
        <item x="3"/>
        <item x="2"/>
        <item x="4"/>
        <item x="0"/>
        <item t="default"/>
      </items>
    </pivotField>
    <pivotField showAll="0"/>
    <pivotField showAll="0"/>
    <pivotField showAll="0">
      <items count="59">
        <item x="18"/>
        <item x="54"/>
        <item x="3"/>
        <item x="11"/>
        <item x="8"/>
        <item x="33"/>
        <item x="21"/>
        <item x="28"/>
        <item x="13"/>
        <item x="39"/>
        <item x="41"/>
        <item x="6"/>
        <item x="4"/>
        <item x="35"/>
        <item x="46"/>
        <item x="12"/>
        <item x="42"/>
        <item x="1"/>
        <item x="26"/>
        <item x="23"/>
        <item x="16"/>
        <item x="30"/>
        <item x="49"/>
        <item x="24"/>
        <item x="9"/>
        <item x="14"/>
        <item x="51"/>
        <item x="40"/>
        <item x="32"/>
        <item x="37"/>
        <item x="52"/>
        <item x="56"/>
        <item x="47"/>
        <item x="44"/>
        <item x="7"/>
        <item x="19"/>
        <item x="27"/>
        <item x="36"/>
        <item x="57"/>
        <item x="45"/>
        <item x="25"/>
        <item x="43"/>
        <item x="0"/>
        <item x="31"/>
        <item x="50"/>
        <item x="55"/>
        <item x="22"/>
        <item x="2"/>
        <item x="20"/>
        <item x="17"/>
        <item x="10"/>
        <item x="53"/>
        <item x="5"/>
        <item x="38"/>
        <item x="34"/>
        <item x="15"/>
        <item x="48"/>
        <item x="29"/>
        <item t="default"/>
      </items>
    </pivotField>
    <pivotField showAll="0"/>
    <pivotField showAll="0"/>
    <pivotField dataField="1" showAll="0">
      <items count="47">
        <item x="15"/>
        <item x="5"/>
        <item x="14"/>
        <item x="32"/>
        <item x="2"/>
        <item x="18"/>
        <item x="3"/>
        <item x="16"/>
        <item x="30"/>
        <item x="27"/>
        <item x="24"/>
        <item x="25"/>
        <item x="35"/>
        <item x="8"/>
        <item x="44"/>
        <item x="9"/>
        <item x="26"/>
        <item x="21"/>
        <item x="22"/>
        <item x="1"/>
        <item x="40"/>
        <item x="23"/>
        <item x="29"/>
        <item x="38"/>
        <item x="31"/>
        <item x="34"/>
        <item x="13"/>
        <item x="12"/>
        <item x="45"/>
        <item x="0"/>
        <item x="36"/>
        <item x="4"/>
        <item x="43"/>
        <item x="28"/>
        <item x="6"/>
        <item x="19"/>
        <item x="33"/>
        <item x="17"/>
        <item x="37"/>
        <item x="41"/>
        <item x="42"/>
        <item x="7"/>
        <item x="39"/>
        <item x="20"/>
        <item x="10"/>
        <item x="11"/>
        <item t="default"/>
      </items>
    </pivotField>
  </pivotFields>
  <rowFields count="1">
    <field x="1"/>
  </rowFields>
  <rowItems count="6">
    <i>
      <x/>
    </i>
    <i>
      <x v="1"/>
    </i>
    <i>
      <x v="2"/>
    </i>
    <i>
      <x v="3"/>
    </i>
    <i>
      <x v="4"/>
    </i>
    <i t="grand">
      <x/>
    </i>
  </rowItems>
  <colItems count="1">
    <i/>
  </colItems>
  <dataFields count="1">
    <dataField name="Sum of ROI" fld="7"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FD2D5B-45ED-45BC-A769-D23FEDF25D1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A1:B7" firstHeaderRow="1" firstDataRow="1" firstDataCol="1"/>
  <pivotFields count="8">
    <pivotField showAll="0"/>
    <pivotField axis="axisRow" showAll="0">
      <items count="6">
        <item x="1"/>
        <item x="3"/>
        <item x="2"/>
        <item x="4"/>
        <item x="0"/>
        <item t="default"/>
      </items>
    </pivotField>
    <pivotField showAll="0"/>
    <pivotField dataField="1"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Expense" fld="3" baseField="0" baseItem="0"/>
  </dataFields>
  <chartFormats count="12">
    <chartFormat chart="1" format="0"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1" count="1" selected="0">
            <x v="0"/>
          </reference>
        </references>
      </pivotArea>
    </chartFormat>
    <chartFormat chart="1" format="12">
      <pivotArea type="data" outline="0" fieldPosition="0">
        <references count="2">
          <reference field="4294967294" count="1" selected="0">
            <x v="0"/>
          </reference>
          <reference field="1" count="1" selected="0">
            <x v="1"/>
          </reference>
        </references>
      </pivotArea>
    </chartFormat>
    <chartFormat chart="1" format="13">
      <pivotArea type="data" outline="0" fieldPosition="0">
        <references count="2">
          <reference field="4294967294" count="1" selected="0">
            <x v="0"/>
          </reference>
          <reference field="1" count="1" selected="0">
            <x v="2"/>
          </reference>
        </references>
      </pivotArea>
    </chartFormat>
    <chartFormat chart="1" format="14">
      <pivotArea type="data" outline="0" fieldPosition="0">
        <references count="2">
          <reference field="4294967294" count="1" selected="0">
            <x v="0"/>
          </reference>
          <reference field="1" count="1" selected="0">
            <x v="3"/>
          </reference>
        </references>
      </pivotArea>
    </chartFormat>
    <chartFormat chart="1" format="15">
      <pivotArea type="data" outline="0" fieldPosition="0">
        <references count="2">
          <reference field="4294967294" count="1" selected="0">
            <x v="0"/>
          </reference>
          <reference field="1" count="1" selected="0">
            <x v="4"/>
          </reference>
        </references>
      </pivotArea>
    </chartFormat>
    <chartFormat chart="8" format="34" series="1">
      <pivotArea type="data" outline="0" fieldPosition="0">
        <references count="1">
          <reference field="4294967294" count="1" selected="0">
            <x v="0"/>
          </reference>
        </references>
      </pivotArea>
    </chartFormat>
    <chartFormat chart="8" format="35">
      <pivotArea type="data" outline="0" fieldPosition="0">
        <references count="2">
          <reference field="4294967294" count="1" selected="0">
            <x v="0"/>
          </reference>
          <reference field="1" count="1" selected="0">
            <x v="0"/>
          </reference>
        </references>
      </pivotArea>
    </chartFormat>
    <chartFormat chart="8" format="36">
      <pivotArea type="data" outline="0" fieldPosition="0">
        <references count="2">
          <reference field="4294967294" count="1" selected="0">
            <x v="0"/>
          </reference>
          <reference field="1" count="1" selected="0">
            <x v="1"/>
          </reference>
        </references>
      </pivotArea>
    </chartFormat>
    <chartFormat chart="8" format="37">
      <pivotArea type="data" outline="0" fieldPosition="0">
        <references count="2">
          <reference field="4294967294" count="1" selected="0">
            <x v="0"/>
          </reference>
          <reference field="1" count="1" selected="0">
            <x v="2"/>
          </reference>
        </references>
      </pivotArea>
    </chartFormat>
    <chartFormat chart="8" format="38">
      <pivotArea type="data" outline="0" fieldPosition="0">
        <references count="2">
          <reference field="4294967294" count="1" selected="0">
            <x v="0"/>
          </reference>
          <reference field="1" count="1" selected="0">
            <x v="3"/>
          </reference>
        </references>
      </pivotArea>
    </chartFormat>
    <chartFormat chart="8" format="3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4F4F5-1991-466A-8CF1-E6059D34450E}"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A1:B7" firstHeaderRow="1" firstDataRow="1" firstDataCol="1"/>
  <pivotFields count="8">
    <pivotField showAll="0"/>
    <pivotField axis="axisRow" showAll="0">
      <items count="6">
        <item x="1"/>
        <item x="3"/>
        <item x="2"/>
        <item x="4"/>
        <item x="0"/>
        <item t="default"/>
      </items>
    </pivotField>
    <pivotField showAll="0"/>
    <pivotField showAll="0"/>
    <pivotField dataField="1" showAll="0"/>
    <pivotField showAll="0"/>
    <pivotField showAll="0"/>
    <pivotField showAll="0"/>
  </pivotFields>
  <rowFields count="1">
    <field x="1"/>
  </rowFields>
  <rowItems count="6">
    <i>
      <x/>
    </i>
    <i>
      <x v="1"/>
    </i>
    <i>
      <x v="2"/>
    </i>
    <i>
      <x v="3"/>
    </i>
    <i>
      <x v="4"/>
    </i>
    <i t="grand">
      <x/>
    </i>
  </rowItems>
  <colItems count="1">
    <i/>
  </colItems>
  <dataFields count="1">
    <dataField name="Sum of Marketing Spend" fld="4"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42F10D-80BA-4BDB-A965-A5A632CD7592}"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B7" firstHeaderRow="1" firstDataRow="1" firstDataCol="1"/>
  <pivotFields count="8">
    <pivotField showAll="0"/>
    <pivotField axis="axisRow" showAll="0">
      <items count="6">
        <item x="1"/>
        <item x="3"/>
        <item x="2"/>
        <item x="4"/>
        <item x="0"/>
        <item t="default"/>
      </items>
    </pivotField>
    <pivotField showAll="0"/>
    <pivotField showAll="0"/>
    <pivotField showAll="0"/>
    <pivotField dataField="1" showAll="0"/>
    <pivotField showAll="0"/>
    <pivotField showAll="0"/>
  </pivotFields>
  <rowFields count="1">
    <field x="1"/>
  </rowFields>
  <rowItems count="6">
    <i>
      <x/>
    </i>
    <i>
      <x v="1"/>
    </i>
    <i>
      <x v="2"/>
    </i>
    <i>
      <x v="3"/>
    </i>
    <i>
      <x v="4"/>
    </i>
    <i t="grand">
      <x/>
    </i>
  </rowItems>
  <colItems count="1">
    <i/>
  </colItems>
  <dataFields count="1">
    <dataField name="Sum of Tax" fld="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780736-F56B-4FEC-9129-9B09BB6138AE}"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1:B7" firstHeaderRow="1" firstDataRow="1" firstDataCol="1"/>
  <pivotFields count="8">
    <pivotField showAll="0"/>
    <pivotField axis="axisRow" showAll="0">
      <items count="6">
        <item x="1"/>
        <item x="3"/>
        <item x="2"/>
        <item x="4"/>
        <item x="0"/>
        <item t="default"/>
      </items>
    </pivotField>
    <pivotField dataField="1"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Revenue" fld="2" subtotal="average" baseField="1"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B0753-FFC6-4116-A0F6-00B69384A918}"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A1:B7" firstHeaderRow="1" firstDataRow="1" firstDataCol="1"/>
  <pivotFields count="8">
    <pivotField showAll="0"/>
    <pivotField axis="axisRow" showAll="0">
      <items count="6">
        <item x="1"/>
        <item x="3"/>
        <item x="2"/>
        <item x="4"/>
        <item x="0"/>
        <item t="default"/>
      </items>
    </pivotField>
    <pivotField showAll="0"/>
    <pivotField showAll="0"/>
    <pivotField showAll="0"/>
    <pivotField showAll="0"/>
    <pivotField dataField="1" showAll="0"/>
    <pivotField showAll="0"/>
  </pivotFields>
  <rowFields count="1">
    <field x="1"/>
  </rowFields>
  <rowItems count="6">
    <i>
      <x/>
    </i>
    <i>
      <x v="1"/>
    </i>
    <i>
      <x v="2"/>
    </i>
    <i>
      <x v="3"/>
    </i>
    <i>
      <x v="4"/>
    </i>
    <i t="grand">
      <x/>
    </i>
  </rowItems>
  <colItems count="1">
    <i/>
  </colItems>
  <dataFields count="1">
    <dataField name="Average of Profit" fld="6" subtotal="average" baseField="1"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271DE91-FFCE-43B3-8313-25B58713E108}" sourceName="Department">
  <pivotTables>
    <pivotTable tabId="3" name="PivotTable3"/>
  </pivotTables>
  <data>
    <tabular pivotCacheId="1531569508">
      <items count="5">
        <i x="1"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F573AA5-45B6-45C2-B3FB-CBBE24B4A090}"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148BAA-3318-4123-9DBB-BDDB76757B3A}" name="Table1" displayName="Table1" ref="A1:H61" totalsRowShown="0">
  <autoFilter ref="A1:H61" xr:uid="{78148BAA-3318-4123-9DBB-BDDB76757B3A}"/>
  <tableColumns count="8">
    <tableColumn id="1" xr3:uid="{4B328E1C-E900-4A14-A991-44D0F38BCFA8}" name="Month" dataDxfId="0"/>
    <tableColumn id="2" xr3:uid="{2594DC4B-525F-43C5-973C-9E609C40A821}" name="Department"/>
    <tableColumn id="3" xr3:uid="{31DC6F75-2482-49CB-9B69-59C7BE92F964}" name="Revenue"/>
    <tableColumn id="4" xr3:uid="{B67A0A02-0B81-4C8A-90F9-3509DF0ABF0C}" name="Expense"/>
    <tableColumn id="5" xr3:uid="{2B53DBAB-18D7-4B3F-A04E-B32E76AC02EB}" name="Marketing Spend"/>
    <tableColumn id="6" xr3:uid="{B4CA380A-80DA-41D5-BA05-9A1FE3C8A7CE}" name="Tax"/>
    <tableColumn id="7" xr3:uid="{5AF439C3-A86A-4DFA-A270-3C251CA94769}" name="Profit"/>
    <tableColumn id="8" xr3:uid="{C099A7E6-A8DF-4ADF-93F9-D811DCF2278D}" name="RO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12F69A0B-88EB-4154-8202-F28F9CC5EB37}" sourceName="Month">
  <pivotTables>
    <pivotTable tabId="2" name="PivotTable2"/>
  </pivotTables>
  <state minimalRefreshVersion="6" lastRefreshVersion="6" pivotCacheId="49786390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1" xr10:uid="{24C189C5-CB0F-430E-A768-1275E246501E}" cache="NativeTimeline_Month" caption="Month" level="2" selectionLevel="2" scrollPosition="2025-03-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36D4B-C457-4088-A649-79A5879F5B87}">
  <dimension ref="A1:H61"/>
  <sheetViews>
    <sheetView tabSelected="1" workbookViewId="0"/>
  </sheetViews>
  <sheetFormatPr defaultRowHeight="14.4" x14ac:dyDescent="0.3"/>
  <cols>
    <col min="1" max="1" width="8.33203125" bestFit="1" customWidth="1"/>
    <col min="2" max="3" width="13.21875" bestFit="1" customWidth="1"/>
    <col min="4" max="4" width="13.109375" bestFit="1" customWidth="1"/>
    <col min="5" max="5" width="20.77734375" bestFit="1" customWidth="1"/>
    <col min="6" max="6" width="9" bestFit="1" customWidth="1"/>
    <col min="7" max="7" width="10.77734375" bestFit="1" customWidth="1"/>
    <col min="8" max="8" width="6.21875" bestFit="1" customWidth="1"/>
  </cols>
  <sheetData>
    <row r="1" spans="1:8" x14ac:dyDescent="0.3">
      <c r="A1" t="s">
        <v>0</v>
      </c>
      <c r="B1" t="s">
        <v>1</v>
      </c>
      <c r="C1" t="s">
        <v>8</v>
      </c>
      <c r="D1" t="s">
        <v>9</v>
      </c>
      <c r="E1" t="s">
        <v>10</v>
      </c>
      <c r="F1" t="s">
        <v>11</v>
      </c>
      <c r="G1" t="s">
        <v>12</v>
      </c>
      <c r="H1" t="s">
        <v>2</v>
      </c>
    </row>
    <row r="2" spans="1:8" x14ac:dyDescent="0.3">
      <c r="A2" s="1">
        <v>45658</v>
      </c>
      <c r="B2" t="s">
        <v>3</v>
      </c>
      <c r="C2">
        <v>176250</v>
      </c>
      <c r="D2">
        <v>102043</v>
      </c>
      <c r="E2">
        <v>14260</v>
      </c>
      <c r="F2">
        <v>14695</v>
      </c>
      <c r="G2">
        <v>59512</v>
      </c>
      <c r="H2">
        <v>0.73</v>
      </c>
    </row>
    <row r="3" spans="1:8" x14ac:dyDescent="0.3">
      <c r="A3" s="1">
        <v>45658</v>
      </c>
      <c r="B3" t="s">
        <v>4</v>
      </c>
      <c r="C3">
        <v>33478</v>
      </c>
      <c r="D3">
        <v>23869</v>
      </c>
      <c r="E3">
        <v>1060</v>
      </c>
      <c r="F3">
        <v>1760</v>
      </c>
      <c r="G3">
        <v>7849</v>
      </c>
      <c r="H3">
        <v>0.4</v>
      </c>
    </row>
    <row r="4" spans="1:8" x14ac:dyDescent="0.3">
      <c r="A4" s="1">
        <v>45658</v>
      </c>
      <c r="B4" t="s">
        <v>5</v>
      </c>
      <c r="C4">
        <v>56406</v>
      </c>
      <c r="D4">
        <v>51069</v>
      </c>
      <c r="E4">
        <v>18311</v>
      </c>
      <c r="F4">
        <v>5327</v>
      </c>
      <c r="G4">
        <v>10</v>
      </c>
      <c r="H4">
        <v>0.1</v>
      </c>
    </row>
    <row r="5" spans="1:8" x14ac:dyDescent="0.3">
      <c r="A5" s="1">
        <v>45658</v>
      </c>
      <c r="B5" t="s">
        <v>6</v>
      </c>
      <c r="C5">
        <v>2590</v>
      </c>
      <c r="D5">
        <v>2224</v>
      </c>
      <c r="E5">
        <v>92</v>
      </c>
      <c r="F5">
        <v>68</v>
      </c>
      <c r="G5">
        <v>298</v>
      </c>
      <c r="H5">
        <v>0.16</v>
      </c>
    </row>
    <row r="6" spans="1:8" x14ac:dyDescent="0.3">
      <c r="A6" s="1">
        <v>45658</v>
      </c>
      <c r="B6" t="s">
        <v>7</v>
      </c>
      <c r="C6">
        <v>14614</v>
      </c>
      <c r="D6">
        <v>10419</v>
      </c>
      <c r="E6">
        <v>797</v>
      </c>
      <c r="F6">
        <v>1437</v>
      </c>
      <c r="G6">
        <v>2758</v>
      </c>
      <c r="H6">
        <v>0.4</v>
      </c>
    </row>
    <row r="7" spans="1:8" x14ac:dyDescent="0.3">
      <c r="A7" s="1">
        <v>45689</v>
      </c>
      <c r="B7" t="s">
        <v>3</v>
      </c>
      <c r="C7">
        <v>213930</v>
      </c>
      <c r="D7">
        <v>121086</v>
      </c>
      <c r="E7">
        <v>33976</v>
      </c>
      <c r="F7">
        <v>17562</v>
      </c>
      <c r="G7">
        <v>75282</v>
      </c>
      <c r="H7">
        <v>0.77</v>
      </c>
    </row>
    <row r="8" spans="1:8" x14ac:dyDescent="0.3">
      <c r="A8" s="1">
        <v>45689</v>
      </c>
      <c r="B8" t="s">
        <v>4</v>
      </c>
      <c r="C8">
        <v>66634</v>
      </c>
      <c r="D8">
        <v>62861</v>
      </c>
      <c r="E8">
        <v>674</v>
      </c>
      <c r="F8">
        <v>4247</v>
      </c>
      <c r="G8">
        <v>-474</v>
      </c>
      <c r="H8">
        <v>0.06</v>
      </c>
    </row>
    <row r="9" spans="1:8" x14ac:dyDescent="0.3">
      <c r="A9" s="1">
        <v>45689</v>
      </c>
      <c r="B9" t="s">
        <v>5</v>
      </c>
      <c r="C9">
        <v>70331</v>
      </c>
      <c r="D9">
        <v>38036</v>
      </c>
      <c r="E9">
        <v>3953</v>
      </c>
      <c r="F9">
        <v>7817</v>
      </c>
      <c r="G9">
        <v>24478</v>
      </c>
      <c r="H9">
        <v>0.85</v>
      </c>
    </row>
    <row r="10" spans="1:8" x14ac:dyDescent="0.3">
      <c r="A10" s="1">
        <v>45689</v>
      </c>
      <c r="B10" t="s">
        <v>6</v>
      </c>
      <c r="C10">
        <v>34584</v>
      </c>
      <c r="D10">
        <v>14915</v>
      </c>
      <c r="E10">
        <v>219</v>
      </c>
      <c r="F10">
        <v>2169</v>
      </c>
      <c r="G10">
        <v>17500</v>
      </c>
      <c r="H10">
        <v>1.32</v>
      </c>
    </row>
    <row r="11" spans="1:8" x14ac:dyDescent="0.3">
      <c r="A11" s="1">
        <v>45689</v>
      </c>
      <c r="B11" t="s">
        <v>7</v>
      </c>
      <c r="C11">
        <v>75045</v>
      </c>
      <c r="D11">
        <v>68478</v>
      </c>
      <c r="E11">
        <v>2446</v>
      </c>
      <c r="F11">
        <v>4706</v>
      </c>
      <c r="G11">
        <v>1861</v>
      </c>
      <c r="H11">
        <v>0.1</v>
      </c>
    </row>
    <row r="12" spans="1:8" x14ac:dyDescent="0.3">
      <c r="A12" s="1">
        <v>45717</v>
      </c>
      <c r="B12" t="s">
        <v>3</v>
      </c>
      <c r="C12">
        <v>199537</v>
      </c>
      <c r="D12">
        <v>156257</v>
      </c>
      <c r="E12">
        <v>26878</v>
      </c>
      <c r="F12">
        <v>9911</v>
      </c>
      <c r="G12">
        <v>33369</v>
      </c>
      <c r="H12">
        <v>0.28000000000000003</v>
      </c>
    </row>
    <row r="13" spans="1:8" x14ac:dyDescent="0.3">
      <c r="A13" s="1">
        <v>45717</v>
      </c>
      <c r="B13" t="s">
        <v>4</v>
      </c>
      <c r="C13">
        <v>21362</v>
      </c>
      <c r="D13">
        <v>18437</v>
      </c>
      <c r="E13">
        <v>201</v>
      </c>
      <c r="F13">
        <v>1786</v>
      </c>
      <c r="G13">
        <v>1139</v>
      </c>
      <c r="H13">
        <v>0.16</v>
      </c>
    </row>
    <row r="14" spans="1:8" x14ac:dyDescent="0.3">
      <c r="A14" s="1">
        <v>45717</v>
      </c>
      <c r="B14" t="s">
        <v>5</v>
      </c>
      <c r="C14">
        <v>2928</v>
      </c>
      <c r="D14">
        <v>2230</v>
      </c>
      <c r="E14">
        <v>949</v>
      </c>
      <c r="F14">
        <v>222</v>
      </c>
      <c r="G14">
        <v>476</v>
      </c>
      <c r="H14">
        <v>0.31</v>
      </c>
    </row>
    <row r="15" spans="1:8" x14ac:dyDescent="0.3">
      <c r="A15" s="1">
        <v>45717</v>
      </c>
      <c r="B15" t="s">
        <v>6</v>
      </c>
      <c r="C15">
        <v>25225</v>
      </c>
      <c r="D15">
        <v>10521</v>
      </c>
      <c r="E15">
        <v>542</v>
      </c>
      <c r="F15">
        <v>1671</v>
      </c>
      <c r="G15">
        <v>13033</v>
      </c>
      <c r="H15">
        <v>1.4</v>
      </c>
    </row>
    <row r="16" spans="1:8" x14ac:dyDescent="0.3">
      <c r="A16" s="1">
        <v>45717</v>
      </c>
      <c r="B16" t="s">
        <v>7</v>
      </c>
      <c r="C16">
        <v>109313</v>
      </c>
      <c r="D16">
        <v>44886</v>
      </c>
      <c r="E16">
        <v>2476</v>
      </c>
      <c r="F16">
        <v>8617</v>
      </c>
      <c r="G16">
        <v>55810</v>
      </c>
      <c r="H16">
        <v>1.44</v>
      </c>
    </row>
    <row r="17" spans="1:8" x14ac:dyDescent="0.3">
      <c r="A17" s="1">
        <v>45748</v>
      </c>
      <c r="B17" t="s">
        <v>3</v>
      </c>
      <c r="C17">
        <v>215195</v>
      </c>
      <c r="D17">
        <v>126716</v>
      </c>
      <c r="E17">
        <v>44447</v>
      </c>
      <c r="F17">
        <v>9214</v>
      </c>
      <c r="G17">
        <v>79265</v>
      </c>
      <c r="H17">
        <v>0.7</v>
      </c>
    </row>
    <row r="18" spans="1:8" x14ac:dyDescent="0.3">
      <c r="A18" s="1">
        <v>45748</v>
      </c>
      <c r="B18" t="s">
        <v>4</v>
      </c>
      <c r="C18">
        <v>53960</v>
      </c>
      <c r="D18">
        <v>31914</v>
      </c>
      <c r="E18">
        <v>1314</v>
      </c>
      <c r="F18">
        <v>4293</v>
      </c>
      <c r="G18">
        <v>17753</v>
      </c>
      <c r="H18">
        <v>0.69</v>
      </c>
    </row>
    <row r="19" spans="1:8" x14ac:dyDescent="0.3">
      <c r="A19" s="1">
        <v>45748</v>
      </c>
      <c r="B19" t="s">
        <v>5</v>
      </c>
      <c r="C19">
        <v>48437</v>
      </c>
      <c r="D19">
        <v>45241</v>
      </c>
      <c r="E19">
        <v>22276</v>
      </c>
      <c r="F19">
        <v>3776</v>
      </c>
      <c r="G19">
        <v>-580</v>
      </c>
      <c r="H19">
        <v>7.0000000000000007E-2</v>
      </c>
    </row>
    <row r="20" spans="1:8" x14ac:dyDescent="0.3">
      <c r="A20" s="1">
        <v>45748</v>
      </c>
      <c r="B20" t="s">
        <v>6</v>
      </c>
      <c r="C20">
        <v>0</v>
      </c>
      <c r="D20">
        <v>0</v>
      </c>
      <c r="E20">
        <v>0</v>
      </c>
      <c r="F20">
        <v>0</v>
      </c>
      <c r="G20">
        <v>0</v>
      </c>
      <c r="H20">
        <v>0</v>
      </c>
    </row>
    <row r="21" spans="1:8" x14ac:dyDescent="0.3">
      <c r="A21" s="1">
        <v>45748</v>
      </c>
      <c r="B21" t="s">
        <v>7</v>
      </c>
      <c r="C21">
        <v>80454</v>
      </c>
      <c r="D21">
        <v>68513</v>
      </c>
      <c r="E21">
        <v>4050</v>
      </c>
      <c r="F21">
        <v>4329</v>
      </c>
      <c r="G21">
        <v>7612</v>
      </c>
      <c r="H21">
        <v>0.17</v>
      </c>
    </row>
    <row r="22" spans="1:8" x14ac:dyDescent="0.3">
      <c r="A22" s="1">
        <v>45778</v>
      </c>
      <c r="B22" t="s">
        <v>3</v>
      </c>
      <c r="C22">
        <v>216787</v>
      </c>
      <c r="D22">
        <v>111521</v>
      </c>
      <c r="E22">
        <v>21828</v>
      </c>
      <c r="F22">
        <v>18134</v>
      </c>
      <c r="G22">
        <v>87132</v>
      </c>
      <c r="H22">
        <v>0.94</v>
      </c>
    </row>
    <row r="23" spans="1:8" x14ac:dyDescent="0.3">
      <c r="A23" s="1">
        <v>45778</v>
      </c>
      <c r="B23" t="s">
        <v>4</v>
      </c>
      <c r="C23">
        <v>5416</v>
      </c>
      <c r="D23">
        <v>4792</v>
      </c>
      <c r="E23">
        <v>277</v>
      </c>
      <c r="F23">
        <v>519</v>
      </c>
      <c r="G23">
        <v>105</v>
      </c>
      <c r="H23">
        <v>0.13</v>
      </c>
    </row>
    <row r="24" spans="1:8" x14ac:dyDescent="0.3">
      <c r="A24" s="1">
        <v>45778</v>
      </c>
      <c r="B24" t="s">
        <v>5</v>
      </c>
      <c r="C24">
        <v>71967</v>
      </c>
      <c r="D24">
        <v>38517</v>
      </c>
      <c r="E24">
        <v>16949</v>
      </c>
      <c r="F24">
        <v>4579</v>
      </c>
      <c r="G24">
        <v>28871</v>
      </c>
      <c r="H24">
        <v>0.87</v>
      </c>
    </row>
    <row r="25" spans="1:8" x14ac:dyDescent="0.3">
      <c r="A25" s="1">
        <v>45778</v>
      </c>
      <c r="B25" t="s">
        <v>6</v>
      </c>
      <c r="C25">
        <v>85160</v>
      </c>
      <c r="D25">
        <v>36134</v>
      </c>
      <c r="E25">
        <v>1156</v>
      </c>
      <c r="F25">
        <v>8222</v>
      </c>
      <c r="G25">
        <v>40804</v>
      </c>
      <c r="H25">
        <v>1.36</v>
      </c>
    </row>
    <row r="26" spans="1:8" x14ac:dyDescent="0.3">
      <c r="A26" s="1">
        <v>45778</v>
      </c>
      <c r="B26" t="s">
        <v>7</v>
      </c>
      <c r="C26">
        <v>69564</v>
      </c>
      <c r="D26">
        <v>52072</v>
      </c>
      <c r="E26">
        <v>1562</v>
      </c>
      <c r="F26">
        <v>1762</v>
      </c>
      <c r="G26">
        <v>15730</v>
      </c>
      <c r="H26">
        <v>0.34</v>
      </c>
    </row>
    <row r="27" spans="1:8" x14ac:dyDescent="0.3">
      <c r="A27" s="1">
        <v>45809</v>
      </c>
      <c r="B27" t="s">
        <v>3</v>
      </c>
      <c r="C27">
        <v>209678</v>
      </c>
      <c r="D27">
        <v>154809</v>
      </c>
      <c r="E27">
        <v>11042</v>
      </c>
      <c r="F27">
        <v>17040</v>
      </c>
      <c r="G27">
        <v>37829</v>
      </c>
      <c r="H27">
        <v>0.35</v>
      </c>
    </row>
    <row r="28" spans="1:8" x14ac:dyDescent="0.3">
      <c r="A28" s="1">
        <v>45809</v>
      </c>
      <c r="B28" t="s">
        <v>4</v>
      </c>
      <c r="C28">
        <v>57430</v>
      </c>
      <c r="D28">
        <v>37978</v>
      </c>
      <c r="E28">
        <v>1145</v>
      </c>
      <c r="F28">
        <v>6048</v>
      </c>
      <c r="G28">
        <v>13404</v>
      </c>
      <c r="H28">
        <v>0.51</v>
      </c>
    </row>
    <row r="29" spans="1:8" x14ac:dyDescent="0.3">
      <c r="A29" s="1">
        <v>45809</v>
      </c>
      <c r="B29" t="s">
        <v>5</v>
      </c>
      <c r="C29">
        <v>44961</v>
      </c>
      <c r="D29">
        <v>24266</v>
      </c>
      <c r="E29">
        <v>4561</v>
      </c>
      <c r="F29">
        <v>4650</v>
      </c>
      <c r="G29">
        <v>16045</v>
      </c>
      <c r="H29">
        <v>0.85</v>
      </c>
    </row>
    <row r="30" spans="1:8" x14ac:dyDescent="0.3">
      <c r="A30" s="1">
        <v>45809</v>
      </c>
      <c r="B30" t="s">
        <v>6</v>
      </c>
      <c r="C30">
        <v>26318</v>
      </c>
      <c r="D30">
        <v>15559</v>
      </c>
      <c r="E30">
        <v>318</v>
      </c>
      <c r="F30">
        <v>628</v>
      </c>
      <c r="G30">
        <v>10131</v>
      </c>
      <c r="H30">
        <v>0.69</v>
      </c>
    </row>
    <row r="31" spans="1:8" x14ac:dyDescent="0.3">
      <c r="A31" s="1">
        <v>45809</v>
      </c>
      <c r="B31" t="s">
        <v>7</v>
      </c>
      <c r="C31">
        <v>0</v>
      </c>
      <c r="D31">
        <v>0</v>
      </c>
      <c r="E31">
        <v>0</v>
      </c>
      <c r="F31">
        <v>0</v>
      </c>
      <c r="G31">
        <v>0</v>
      </c>
      <c r="H31">
        <v>0</v>
      </c>
    </row>
    <row r="32" spans="1:8" x14ac:dyDescent="0.3">
      <c r="A32" s="1">
        <v>45839</v>
      </c>
      <c r="B32" t="s">
        <v>3</v>
      </c>
      <c r="C32">
        <v>207864</v>
      </c>
      <c r="D32">
        <v>196061</v>
      </c>
      <c r="E32">
        <v>51573</v>
      </c>
      <c r="F32">
        <v>20837</v>
      </c>
      <c r="G32">
        <v>-9034</v>
      </c>
      <c r="H32">
        <v>0.06</v>
      </c>
    </row>
    <row r="33" spans="1:8" x14ac:dyDescent="0.3">
      <c r="A33" s="1">
        <v>45839</v>
      </c>
      <c r="B33" t="s">
        <v>4</v>
      </c>
      <c r="C33">
        <v>46387</v>
      </c>
      <c r="D33">
        <v>37349</v>
      </c>
      <c r="E33">
        <v>1372</v>
      </c>
      <c r="F33">
        <v>1199</v>
      </c>
      <c r="G33">
        <v>7839</v>
      </c>
      <c r="H33">
        <v>0.24</v>
      </c>
    </row>
    <row r="34" spans="1:8" x14ac:dyDescent="0.3">
      <c r="A34" s="1">
        <v>45839</v>
      </c>
      <c r="B34" t="s">
        <v>5</v>
      </c>
      <c r="C34">
        <v>55189</v>
      </c>
      <c r="D34">
        <v>44270</v>
      </c>
      <c r="E34">
        <v>15448</v>
      </c>
      <c r="F34">
        <v>1824</v>
      </c>
      <c r="G34">
        <v>9095</v>
      </c>
      <c r="H34">
        <v>0.25</v>
      </c>
    </row>
    <row r="35" spans="1:8" x14ac:dyDescent="0.3">
      <c r="A35" s="1">
        <v>45839</v>
      </c>
      <c r="B35" t="s">
        <v>6</v>
      </c>
      <c r="C35">
        <v>44517</v>
      </c>
      <c r="D35">
        <v>33475</v>
      </c>
      <c r="E35">
        <v>2661</v>
      </c>
      <c r="F35">
        <v>4721</v>
      </c>
      <c r="G35">
        <v>6321</v>
      </c>
      <c r="H35">
        <v>0.33</v>
      </c>
    </row>
    <row r="36" spans="1:8" x14ac:dyDescent="0.3">
      <c r="A36" s="1">
        <v>45839</v>
      </c>
      <c r="B36" t="s">
        <v>7</v>
      </c>
      <c r="C36">
        <v>20238</v>
      </c>
      <c r="D36">
        <v>16622</v>
      </c>
      <c r="E36">
        <v>268</v>
      </c>
      <c r="F36">
        <v>2077</v>
      </c>
      <c r="G36">
        <v>1539</v>
      </c>
      <c r="H36">
        <v>0.22</v>
      </c>
    </row>
    <row r="37" spans="1:8" x14ac:dyDescent="0.3">
      <c r="A37" s="1">
        <v>45870</v>
      </c>
      <c r="B37" t="s">
        <v>3</v>
      </c>
      <c r="C37">
        <v>211477</v>
      </c>
      <c r="D37">
        <v>115056</v>
      </c>
      <c r="E37">
        <v>41418</v>
      </c>
      <c r="F37">
        <v>23763</v>
      </c>
      <c r="G37">
        <v>72658</v>
      </c>
      <c r="H37">
        <v>0.84</v>
      </c>
    </row>
    <row r="38" spans="1:8" x14ac:dyDescent="0.3">
      <c r="A38" s="1">
        <v>45870</v>
      </c>
      <c r="B38" t="s">
        <v>4</v>
      </c>
      <c r="C38">
        <v>51156</v>
      </c>
      <c r="D38">
        <v>33492</v>
      </c>
      <c r="E38">
        <v>810</v>
      </c>
      <c r="F38">
        <v>4042</v>
      </c>
      <c r="G38">
        <v>13622</v>
      </c>
      <c r="H38">
        <v>0.53</v>
      </c>
    </row>
    <row r="39" spans="1:8" x14ac:dyDescent="0.3">
      <c r="A39" s="1">
        <v>45870</v>
      </c>
      <c r="B39" t="s">
        <v>5</v>
      </c>
      <c r="C39">
        <v>0</v>
      </c>
      <c r="D39">
        <v>0</v>
      </c>
      <c r="E39">
        <v>0</v>
      </c>
      <c r="F39">
        <v>0</v>
      </c>
      <c r="G39">
        <v>0</v>
      </c>
      <c r="H39">
        <v>0</v>
      </c>
    </row>
    <row r="40" spans="1:8" x14ac:dyDescent="0.3">
      <c r="A40" s="1">
        <v>45870</v>
      </c>
      <c r="B40" t="s">
        <v>6</v>
      </c>
      <c r="C40">
        <v>104421</v>
      </c>
      <c r="D40">
        <v>87758</v>
      </c>
      <c r="E40">
        <v>4775</v>
      </c>
      <c r="F40">
        <v>3293</v>
      </c>
      <c r="G40">
        <v>13370</v>
      </c>
      <c r="H40">
        <v>0.19</v>
      </c>
    </row>
    <row r="41" spans="1:8" x14ac:dyDescent="0.3">
      <c r="A41" s="1">
        <v>45870</v>
      </c>
      <c r="B41" t="s">
        <v>7</v>
      </c>
      <c r="C41">
        <v>52489</v>
      </c>
      <c r="D41">
        <v>33638</v>
      </c>
      <c r="E41">
        <v>2886</v>
      </c>
      <c r="F41">
        <v>4181</v>
      </c>
      <c r="G41">
        <v>14670</v>
      </c>
      <c r="H41">
        <v>0.56000000000000005</v>
      </c>
    </row>
    <row r="42" spans="1:8" x14ac:dyDescent="0.3">
      <c r="A42" s="1">
        <v>45901</v>
      </c>
      <c r="B42" t="s">
        <v>3</v>
      </c>
      <c r="C42">
        <v>175221</v>
      </c>
      <c r="D42">
        <v>163023</v>
      </c>
      <c r="E42">
        <v>37794</v>
      </c>
      <c r="F42">
        <v>14957</v>
      </c>
      <c r="G42">
        <v>-2759</v>
      </c>
      <c r="H42">
        <v>7.0000000000000007E-2</v>
      </c>
    </row>
    <row r="43" spans="1:8" x14ac:dyDescent="0.3">
      <c r="A43" s="1">
        <v>45901</v>
      </c>
      <c r="B43" t="s">
        <v>4</v>
      </c>
      <c r="C43">
        <v>67671</v>
      </c>
      <c r="D43">
        <v>27770</v>
      </c>
      <c r="E43">
        <v>595</v>
      </c>
      <c r="F43">
        <v>6645</v>
      </c>
      <c r="G43">
        <v>33256</v>
      </c>
      <c r="H43">
        <v>1.44</v>
      </c>
    </row>
    <row r="44" spans="1:8" x14ac:dyDescent="0.3">
      <c r="A44" s="1">
        <v>45901</v>
      </c>
      <c r="B44" t="s">
        <v>5</v>
      </c>
      <c r="C44">
        <v>46814</v>
      </c>
      <c r="D44">
        <v>19175</v>
      </c>
      <c r="E44">
        <v>2618</v>
      </c>
      <c r="F44">
        <v>4458</v>
      </c>
      <c r="G44">
        <v>23181</v>
      </c>
      <c r="H44">
        <v>1.44</v>
      </c>
    </row>
    <row r="45" spans="1:8" x14ac:dyDescent="0.3">
      <c r="A45" s="1">
        <v>45901</v>
      </c>
      <c r="B45" t="s">
        <v>6</v>
      </c>
      <c r="C45">
        <v>39403</v>
      </c>
      <c r="D45">
        <v>36069</v>
      </c>
      <c r="E45">
        <v>644</v>
      </c>
      <c r="F45">
        <v>2986</v>
      </c>
      <c r="G45">
        <v>348</v>
      </c>
      <c r="H45">
        <v>0.09</v>
      </c>
    </row>
    <row r="46" spans="1:8" x14ac:dyDescent="0.3">
      <c r="A46" s="1">
        <v>45901</v>
      </c>
      <c r="B46" t="s">
        <v>7</v>
      </c>
      <c r="C46">
        <v>31787</v>
      </c>
      <c r="D46">
        <v>16543</v>
      </c>
      <c r="E46">
        <v>1025</v>
      </c>
      <c r="F46">
        <v>842</v>
      </c>
      <c r="G46">
        <v>14402</v>
      </c>
      <c r="H46">
        <v>0.92</v>
      </c>
    </row>
    <row r="47" spans="1:8" x14ac:dyDescent="0.3">
      <c r="A47" s="1">
        <v>45931</v>
      </c>
      <c r="B47" t="s">
        <v>3</v>
      </c>
      <c r="C47">
        <v>187581</v>
      </c>
      <c r="D47">
        <v>119830</v>
      </c>
      <c r="E47">
        <v>13283</v>
      </c>
      <c r="F47">
        <v>8866</v>
      </c>
      <c r="G47">
        <v>58885</v>
      </c>
      <c r="H47">
        <v>0.56999999999999995</v>
      </c>
    </row>
    <row r="48" spans="1:8" x14ac:dyDescent="0.3">
      <c r="A48" s="1">
        <v>45931</v>
      </c>
      <c r="B48" t="s">
        <v>4</v>
      </c>
      <c r="C48">
        <v>55837</v>
      </c>
      <c r="D48">
        <v>44078</v>
      </c>
      <c r="E48">
        <v>3885</v>
      </c>
      <c r="F48">
        <v>3257</v>
      </c>
      <c r="G48">
        <v>8502</v>
      </c>
      <c r="H48">
        <v>0.27</v>
      </c>
    </row>
    <row r="49" spans="1:8" x14ac:dyDescent="0.3">
      <c r="A49" s="1">
        <v>45931</v>
      </c>
      <c r="B49" t="s">
        <v>5</v>
      </c>
      <c r="C49">
        <v>45286</v>
      </c>
      <c r="D49">
        <v>25920</v>
      </c>
      <c r="E49">
        <v>5735</v>
      </c>
      <c r="F49">
        <v>989</v>
      </c>
      <c r="G49">
        <v>18377</v>
      </c>
      <c r="H49">
        <v>0.75</v>
      </c>
    </row>
    <row r="50" spans="1:8" x14ac:dyDescent="0.3">
      <c r="A50" s="1">
        <v>45931</v>
      </c>
      <c r="B50" t="s">
        <v>6</v>
      </c>
      <c r="C50">
        <v>23846</v>
      </c>
      <c r="D50">
        <v>13647</v>
      </c>
      <c r="E50">
        <v>871</v>
      </c>
      <c r="F50">
        <v>1517</v>
      </c>
      <c r="G50">
        <v>8682</v>
      </c>
      <c r="H50">
        <v>0.75</v>
      </c>
    </row>
    <row r="51" spans="1:8" x14ac:dyDescent="0.3">
      <c r="A51" s="1">
        <v>45931</v>
      </c>
      <c r="B51" t="s">
        <v>7</v>
      </c>
      <c r="C51">
        <v>89119</v>
      </c>
      <c r="D51">
        <v>83724</v>
      </c>
      <c r="E51">
        <v>3521</v>
      </c>
      <c r="F51">
        <v>7253</v>
      </c>
      <c r="G51">
        <v>-1858</v>
      </c>
      <c r="H51">
        <v>0.06</v>
      </c>
    </row>
    <row r="52" spans="1:8" x14ac:dyDescent="0.3">
      <c r="A52" s="1">
        <v>45962</v>
      </c>
      <c r="B52" t="s">
        <v>3</v>
      </c>
      <c r="C52">
        <v>261795</v>
      </c>
      <c r="D52">
        <v>122964</v>
      </c>
      <c r="E52">
        <v>46709</v>
      </c>
      <c r="F52">
        <v>12283</v>
      </c>
      <c r="G52">
        <v>126548</v>
      </c>
      <c r="H52">
        <v>1.1299999999999999</v>
      </c>
    </row>
    <row r="53" spans="1:8" x14ac:dyDescent="0.3">
      <c r="A53" s="1">
        <v>45962</v>
      </c>
      <c r="B53" t="s">
        <v>4</v>
      </c>
      <c r="C53">
        <v>24711</v>
      </c>
      <c r="D53">
        <v>15981</v>
      </c>
      <c r="E53">
        <v>1430</v>
      </c>
      <c r="F53">
        <v>2892</v>
      </c>
      <c r="G53">
        <v>5838</v>
      </c>
      <c r="H53">
        <v>0.55000000000000004</v>
      </c>
    </row>
    <row r="54" spans="1:8" x14ac:dyDescent="0.3">
      <c r="A54" s="1">
        <v>45962</v>
      </c>
      <c r="B54" t="s">
        <v>5</v>
      </c>
      <c r="C54">
        <v>85906</v>
      </c>
      <c r="D54">
        <v>36883</v>
      </c>
      <c r="E54">
        <v>15911</v>
      </c>
      <c r="F54">
        <v>7125</v>
      </c>
      <c r="G54">
        <v>41898</v>
      </c>
      <c r="H54">
        <v>1.33</v>
      </c>
    </row>
    <row r="55" spans="1:8" x14ac:dyDescent="0.3">
      <c r="A55" s="1">
        <v>45962</v>
      </c>
      <c r="B55" t="s">
        <v>6</v>
      </c>
      <c r="C55">
        <v>41910</v>
      </c>
      <c r="D55">
        <v>28028</v>
      </c>
      <c r="E55">
        <v>2525</v>
      </c>
      <c r="F55">
        <v>4381</v>
      </c>
      <c r="G55">
        <v>9501</v>
      </c>
      <c r="H55">
        <v>0.5</v>
      </c>
    </row>
    <row r="56" spans="1:8" x14ac:dyDescent="0.3">
      <c r="A56" s="1">
        <v>45962</v>
      </c>
      <c r="B56" t="s">
        <v>7</v>
      </c>
      <c r="C56">
        <v>78783</v>
      </c>
      <c r="D56">
        <v>35824</v>
      </c>
      <c r="E56">
        <v>3010</v>
      </c>
      <c r="F56">
        <v>6897</v>
      </c>
      <c r="G56">
        <v>36062</v>
      </c>
      <c r="H56">
        <v>1.2</v>
      </c>
    </row>
    <row r="57" spans="1:8" x14ac:dyDescent="0.3">
      <c r="A57" s="1">
        <v>45992</v>
      </c>
      <c r="B57" t="s">
        <v>3</v>
      </c>
      <c r="C57">
        <v>179949</v>
      </c>
      <c r="D57">
        <v>80675</v>
      </c>
      <c r="E57">
        <v>28832</v>
      </c>
      <c r="F57">
        <v>14045</v>
      </c>
      <c r="G57">
        <v>85229</v>
      </c>
      <c r="H57">
        <v>1.23</v>
      </c>
    </row>
    <row r="58" spans="1:8" x14ac:dyDescent="0.3">
      <c r="A58" s="1">
        <v>45992</v>
      </c>
      <c r="B58" t="s">
        <v>4</v>
      </c>
      <c r="C58">
        <v>1757</v>
      </c>
      <c r="D58">
        <v>960</v>
      </c>
      <c r="E58">
        <v>75</v>
      </c>
      <c r="F58">
        <v>80</v>
      </c>
      <c r="G58">
        <v>717</v>
      </c>
      <c r="H58">
        <v>0.83</v>
      </c>
    </row>
    <row r="59" spans="1:8" x14ac:dyDescent="0.3">
      <c r="A59" s="1">
        <v>45992</v>
      </c>
      <c r="B59" t="s">
        <v>5</v>
      </c>
      <c r="C59">
        <v>71810</v>
      </c>
      <c r="D59">
        <v>46349</v>
      </c>
      <c r="E59">
        <v>16808</v>
      </c>
      <c r="F59">
        <v>2007</v>
      </c>
      <c r="G59">
        <v>23454</v>
      </c>
      <c r="H59">
        <v>0.55000000000000004</v>
      </c>
    </row>
    <row r="60" spans="1:8" x14ac:dyDescent="0.3">
      <c r="A60" s="1">
        <v>45992</v>
      </c>
      <c r="B60" t="s">
        <v>6</v>
      </c>
      <c r="C60">
        <v>97823</v>
      </c>
      <c r="D60">
        <v>75942</v>
      </c>
      <c r="E60">
        <v>3287</v>
      </c>
      <c r="F60">
        <v>6348</v>
      </c>
      <c r="G60">
        <v>15533</v>
      </c>
      <c r="H60">
        <v>0.28999999999999998</v>
      </c>
    </row>
    <row r="61" spans="1:8" x14ac:dyDescent="0.3">
      <c r="A61" s="1">
        <v>45992</v>
      </c>
      <c r="B61" t="s">
        <v>7</v>
      </c>
      <c r="C61">
        <v>100590</v>
      </c>
      <c r="D61">
        <v>58491</v>
      </c>
      <c r="E61">
        <v>4839</v>
      </c>
      <c r="F61">
        <v>3325</v>
      </c>
      <c r="G61">
        <v>38774</v>
      </c>
      <c r="H61">
        <v>0.72</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19825-F741-4C80-8D51-B3BF7F7F98B8}">
  <dimension ref="A1:B7"/>
  <sheetViews>
    <sheetView workbookViewId="0"/>
  </sheetViews>
  <sheetFormatPr defaultRowHeight="14.4" x14ac:dyDescent="0.3"/>
  <cols>
    <col min="1" max="1" width="12.44140625" bestFit="1" customWidth="1"/>
    <col min="2" max="2" width="14.109375" bestFit="1" customWidth="1"/>
  </cols>
  <sheetData>
    <row r="1" spans="1:2" x14ac:dyDescent="0.3">
      <c r="A1" s="2" t="s">
        <v>13</v>
      </c>
      <c r="B1" t="s">
        <v>14</v>
      </c>
    </row>
    <row r="2" spans="1:2" x14ac:dyDescent="0.3">
      <c r="A2" s="3" t="s">
        <v>4</v>
      </c>
      <c r="B2">
        <v>485799</v>
      </c>
    </row>
    <row r="3" spans="1:2" x14ac:dyDescent="0.3">
      <c r="A3" s="3" t="s">
        <v>6</v>
      </c>
      <c r="B3">
        <v>525797</v>
      </c>
    </row>
    <row r="4" spans="1:2" x14ac:dyDescent="0.3">
      <c r="A4" s="3" t="s">
        <v>5</v>
      </c>
      <c r="B4">
        <v>600035</v>
      </c>
    </row>
    <row r="5" spans="1:2" x14ac:dyDescent="0.3">
      <c r="A5" s="3" t="s">
        <v>7</v>
      </c>
      <c r="B5">
        <v>721996</v>
      </c>
    </row>
    <row r="6" spans="1:2" x14ac:dyDescent="0.3">
      <c r="A6" s="3" t="s">
        <v>3</v>
      </c>
      <c r="B6">
        <v>2455264</v>
      </c>
    </row>
    <row r="7" spans="1:2" x14ac:dyDescent="0.3">
      <c r="A7" s="3" t="s">
        <v>15</v>
      </c>
      <c r="B7">
        <v>4788891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F856B-E0D6-493A-AE88-3C1E23FC35BC}">
  <dimension ref="A1:B7"/>
  <sheetViews>
    <sheetView workbookViewId="0"/>
  </sheetViews>
  <sheetFormatPr defaultRowHeight="14.4" x14ac:dyDescent="0.3"/>
  <cols>
    <col min="1" max="1" width="12.44140625" bestFit="1" customWidth="1"/>
    <col min="2" max="2" width="11.5546875" bestFit="1" customWidth="1"/>
  </cols>
  <sheetData>
    <row r="1" spans="1:2" x14ac:dyDescent="0.3">
      <c r="A1" s="2" t="s">
        <v>13</v>
      </c>
      <c r="B1" t="s">
        <v>16</v>
      </c>
    </row>
    <row r="2" spans="1:2" x14ac:dyDescent="0.3">
      <c r="A2" s="3" t="s">
        <v>4</v>
      </c>
      <c r="B2">
        <v>109550</v>
      </c>
    </row>
    <row r="3" spans="1:2" x14ac:dyDescent="0.3">
      <c r="A3" s="3" t="s">
        <v>6</v>
      </c>
      <c r="B3">
        <v>135521</v>
      </c>
    </row>
    <row r="4" spans="1:2" x14ac:dyDescent="0.3">
      <c r="A4" s="3" t="s">
        <v>5</v>
      </c>
      <c r="B4">
        <v>185305</v>
      </c>
    </row>
    <row r="5" spans="1:2" x14ac:dyDescent="0.3">
      <c r="A5" s="3" t="s">
        <v>7</v>
      </c>
      <c r="B5">
        <v>187360</v>
      </c>
    </row>
    <row r="6" spans="1:2" x14ac:dyDescent="0.3">
      <c r="A6" s="3" t="s">
        <v>3</v>
      </c>
      <c r="B6">
        <v>703916</v>
      </c>
    </row>
    <row r="7" spans="1:2" x14ac:dyDescent="0.3">
      <c r="A7" s="3" t="s">
        <v>15</v>
      </c>
      <c r="B7">
        <v>1321652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610D-5F48-4FD0-8423-91BAC20733F8}">
  <dimension ref="A1:B7"/>
  <sheetViews>
    <sheetView workbookViewId="0"/>
  </sheetViews>
  <sheetFormatPr defaultRowHeight="14.4" x14ac:dyDescent="0.3"/>
  <cols>
    <col min="1" max="1" width="12.44140625" bestFit="1" customWidth="1"/>
    <col min="2" max="2" width="10" bestFit="1" customWidth="1"/>
  </cols>
  <sheetData>
    <row r="1" spans="1:2" x14ac:dyDescent="0.3">
      <c r="A1" s="2" t="s">
        <v>13</v>
      </c>
      <c r="B1" t="s">
        <v>17</v>
      </c>
    </row>
    <row r="2" spans="1:2" x14ac:dyDescent="0.3">
      <c r="A2" s="3" t="s">
        <v>4</v>
      </c>
      <c r="B2">
        <v>5.81</v>
      </c>
    </row>
    <row r="3" spans="1:2" x14ac:dyDescent="0.3">
      <c r="A3" s="3" t="s">
        <v>6</v>
      </c>
      <c r="B3">
        <v>7.08</v>
      </c>
    </row>
    <row r="4" spans="1:2" x14ac:dyDescent="0.3">
      <c r="A4" s="3" t="s">
        <v>5</v>
      </c>
      <c r="B4">
        <v>7.37</v>
      </c>
    </row>
    <row r="5" spans="1:2" x14ac:dyDescent="0.3">
      <c r="A5" s="3" t="s">
        <v>7</v>
      </c>
      <c r="B5">
        <v>6.13</v>
      </c>
    </row>
    <row r="6" spans="1:2" x14ac:dyDescent="0.3">
      <c r="A6" s="3" t="s">
        <v>3</v>
      </c>
      <c r="B6">
        <v>7.67</v>
      </c>
    </row>
    <row r="7" spans="1:2" x14ac:dyDescent="0.3">
      <c r="A7" s="3" t="s">
        <v>15</v>
      </c>
      <c r="B7">
        <v>34.06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13B30-7CF0-4B14-B631-13E14262EEC5}">
  <dimension ref="A1:B7"/>
  <sheetViews>
    <sheetView workbookViewId="0"/>
  </sheetViews>
  <sheetFormatPr defaultRowHeight="14.4" x14ac:dyDescent="0.3"/>
  <cols>
    <col min="1" max="1" width="12.44140625" bestFit="1" customWidth="1"/>
    <col min="2" max="2" width="14" bestFit="1" customWidth="1"/>
    <col min="3" max="3" width="21.109375" bestFit="1" customWidth="1"/>
    <col min="4" max="4" width="9.77734375" bestFit="1" customWidth="1"/>
  </cols>
  <sheetData>
    <row r="1" spans="1:2" x14ac:dyDescent="0.3">
      <c r="A1" s="2" t="s">
        <v>13</v>
      </c>
      <c r="B1" t="s">
        <v>18</v>
      </c>
    </row>
    <row r="2" spans="1:2" x14ac:dyDescent="0.3">
      <c r="A2" s="3" t="s">
        <v>4</v>
      </c>
      <c r="B2">
        <v>339481</v>
      </c>
    </row>
    <row r="3" spans="1:2" x14ac:dyDescent="0.3">
      <c r="A3" s="3" t="s">
        <v>6</v>
      </c>
      <c r="B3">
        <v>354272</v>
      </c>
    </row>
    <row r="4" spans="1:2" x14ac:dyDescent="0.3">
      <c r="A4" s="3" t="s">
        <v>5</v>
      </c>
      <c r="B4">
        <v>371956</v>
      </c>
    </row>
    <row r="5" spans="1:2" x14ac:dyDescent="0.3">
      <c r="A5" s="3" t="s">
        <v>7</v>
      </c>
      <c r="B5">
        <v>489210</v>
      </c>
    </row>
    <row r="6" spans="1:2" x14ac:dyDescent="0.3">
      <c r="A6" s="3" t="s">
        <v>3</v>
      </c>
      <c r="B6">
        <v>1570041</v>
      </c>
    </row>
    <row r="7" spans="1:2" x14ac:dyDescent="0.3">
      <c r="A7" s="3" t="s">
        <v>15</v>
      </c>
      <c r="B7">
        <v>3124960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1F2A-63D1-4EBD-B8D5-7678D6CCF03E}">
  <dimension ref="A1:B7"/>
  <sheetViews>
    <sheetView workbookViewId="0"/>
  </sheetViews>
  <sheetFormatPr defaultRowHeight="14.4" x14ac:dyDescent="0.3"/>
  <cols>
    <col min="1" max="1" width="12.44140625" bestFit="1" customWidth="1"/>
    <col min="2" max="2" width="21.109375" bestFit="1" customWidth="1"/>
  </cols>
  <sheetData>
    <row r="1" spans="1:2" x14ac:dyDescent="0.3">
      <c r="A1" s="2" t="s">
        <v>13</v>
      </c>
      <c r="B1" t="s">
        <v>19</v>
      </c>
    </row>
    <row r="2" spans="1:2" x14ac:dyDescent="0.3">
      <c r="A2" s="3" t="s">
        <v>4</v>
      </c>
      <c r="B2">
        <v>12838</v>
      </c>
    </row>
    <row r="3" spans="1:2" x14ac:dyDescent="0.3">
      <c r="A3" s="3" t="s">
        <v>6</v>
      </c>
      <c r="B3">
        <v>17090</v>
      </c>
    </row>
    <row r="4" spans="1:2" x14ac:dyDescent="0.3">
      <c r="A4" s="3" t="s">
        <v>5</v>
      </c>
      <c r="B4">
        <v>123519</v>
      </c>
    </row>
    <row r="5" spans="1:2" x14ac:dyDescent="0.3">
      <c r="A5" s="3" t="s">
        <v>7</v>
      </c>
      <c r="B5">
        <v>26880</v>
      </c>
    </row>
    <row r="6" spans="1:2" x14ac:dyDescent="0.3">
      <c r="A6" s="3" t="s">
        <v>3</v>
      </c>
      <c r="B6">
        <v>372040</v>
      </c>
    </row>
    <row r="7" spans="1:2" x14ac:dyDescent="0.3">
      <c r="A7" s="3" t="s">
        <v>15</v>
      </c>
      <c r="B7">
        <v>552367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8FE5-85CE-480C-A714-BF856B60E10B}">
  <dimension ref="A1:B7"/>
  <sheetViews>
    <sheetView workbookViewId="0"/>
  </sheetViews>
  <sheetFormatPr defaultRowHeight="14.4" x14ac:dyDescent="0.3"/>
  <cols>
    <col min="1" max="1" width="12.44140625" bestFit="1" customWidth="1"/>
    <col min="2" max="2" width="9.77734375" bestFit="1" customWidth="1"/>
  </cols>
  <sheetData>
    <row r="1" spans="1:2" x14ac:dyDescent="0.3">
      <c r="A1" s="2" t="s">
        <v>13</v>
      </c>
      <c r="B1" t="s">
        <v>20</v>
      </c>
    </row>
    <row r="2" spans="1:2" x14ac:dyDescent="0.3">
      <c r="A2" s="3" t="s">
        <v>4</v>
      </c>
      <c r="B2">
        <v>36768</v>
      </c>
    </row>
    <row r="3" spans="1:2" x14ac:dyDescent="0.3">
      <c r="A3" s="3" t="s">
        <v>6</v>
      </c>
      <c r="B3">
        <v>36004</v>
      </c>
    </row>
    <row r="4" spans="1:2" x14ac:dyDescent="0.3">
      <c r="A4" s="3" t="s">
        <v>5</v>
      </c>
      <c r="B4">
        <v>42774</v>
      </c>
    </row>
    <row r="5" spans="1:2" x14ac:dyDescent="0.3">
      <c r="A5" s="3" t="s">
        <v>7</v>
      </c>
      <c r="B5">
        <v>45426</v>
      </c>
    </row>
    <row r="6" spans="1:2" x14ac:dyDescent="0.3">
      <c r="A6" s="3" t="s">
        <v>3</v>
      </c>
      <c r="B6">
        <v>181307</v>
      </c>
    </row>
    <row r="7" spans="1:2" x14ac:dyDescent="0.3">
      <c r="A7" s="3" t="s">
        <v>15</v>
      </c>
      <c r="B7">
        <v>342279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F0DF2-F67A-4F95-BFB2-1A4FF70EC3A2}">
  <dimension ref="A1:B7"/>
  <sheetViews>
    <sheetView workbookViewId="0"/>
  </sheetViews>
  <sheetFormatPr defaultRowHeight="14.4" x14ac:dyDescent="0.3"/>
  <cols>
    <col min="1" max="1" width="12.44140625" bestFit="1" customWidth="1"/>
    <col min="2" max="3" width="16.88671875" bestFit="1" customWidth="1"/>
  </cols>
  <sheetData>
    <row r="1" spans="1:2" x14ac:dyDescent="0.3">
      <c r="A1" s="2" t="s">
        <v>13</v>
      </c>
      <c r="B1" t="s">
        <v>21</v>
      </c>
    </row>
    <row r="2" spans="1:2" x14ac:dyDescent="0.3">
      <c r="A2" s="3" t="s">
        <v>4</v>
      </c>
      <c r="B2">
        <v>40483.25</v>
      </c>
    </row>
    <row r="3" spans="1:2" x14ac:dyDescent="0.3">
      <c r="A3" s="3" t="s">
        <v>6</v>
      </c>
      <c r="B3">
        <v>43816.416666666664</v>
      </c>
    </row>
    <row r="4" spans="1:2" x14ac:dyDescent="0.3">
      <c r="A4" s="3" t="s">
        <v>5</v>
      </c>
      <c r="B4">
        <v>50002.916666666664</v>
      </c>
    </row>
    <row r="5" spans="1:2" x14ac:dyDescent="0.3">
      <c r="A5" s="3" t="s">
        <v>7</v>
      </c>
      <c r="B5">
        <v>60166.333333333336</v>
      </c>
    </row>
    <row r="6" spans="1:2" x14ac:dyDescent="0.3">
      <c r="A6" s="3" t="s">
        <v>3</v>
      </c>
      <c r="B6">
        <v>204605.33333333334</v>
      </c>
    </row>
    <row r="7" spans="1:2" x14ac:dyDescent="0.3">
      <c r="A7" s="3" t="s">
        <v>15</v>
      </c>
      <c r="B7">
        <v>79814.850000000006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53A7-79B4-4A3A-8CF6-538D95DF231B}">
  <dimension ref="A1:B7"/>
  <sheetViews>
    <sheetView workbookViewId="0"/>
  </sheetViews>
  <sheetFormatPr defaultRowHeight="14.4" x14ac:dyDescent="0.3"/>
  <cols>
    <col min="1" max="1" width="12.44140625" bestFit="1" customWidth="1"/>
    <col min="2" max="2" width="14.44140625" bestFit="1" customWidth="1"/>
  </cols>
  <sheetData>
    <row r="1" spans="1:2" x14ac:dyDescent="0.3">
      <c r="A1" s="2" t="s">
        <v>13</v>
      </c>
      <c r="B1" t="s">
        <v>22</v>
      </c>
    </row>
    <row r="2" spans="1:2" x14ac:dyDescent="0.3">
      <c r="A2" s="3" t="s">
        <v>4</v>
      </c>
      <c r="B2">
        <v>9129.1666666666661</v>
      </c>
    </row>
    <row r="3" spans="1:2" x14ac:dyDescent="0.3">
      <c r="A3" s="3" t="s">
        <v>6</v>
      </c>
      <c r="B3">
        <v>11293.416666666666</v>
      </c>
    </row>
    <row r="4" spans="1:2" x14ac:dyDescent="0.3">
      <c r="A4" s="3" t="s">
        <v>5</v>
      </c>
      <c r="B4">
        <v>15442.083333333334</v>
      </c>
    </row>
    <row r="5" spans="1:2" x14ac:dyDescent="0.3">
      <c r="A5" s="3" t="s">
        <v>7</v>
      </c>
      <c r="B5">
        <v>15613.333333333334</v>
      </c>
    </row>
    <row r="6" spans="1:2" x14ac:dyDescent="0.3">
      <c r="A6" s="3" t="s">
        <v>3</v>
      </c>
      <c r="B6">
        <v>58659.666666666664</v>
      </c>
    </row>
    <row r="7" spans="1:2" x14ac:dyDescent="0.3">
      <c r="A7" s="3" t="s">
        <v>15</v>
      </c>
      <c r="B7">
        <v>22027.533333333333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6E10-0419-42D2-A549-9DCF7940A983}">
  <dimension ref="A1"/>
  <sheetViews>
    <sheetView zoomScale="78" zoomScaleNormal="65" workbookViewId="0">
      <selection activeCell="AA21" sqref="AA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7BD4F1-6CFA-4BE8-87D2-90DAD2CF54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Finance Data</vt:lpstr>
      <vt:lpstr>KPI1</vt:lpstr>
      <vt:lpstr>KPI2</vt:lpstr>
      <vt:lpstr>KPI3</vt:lpstr>
      <vt:lpstr>KPI4</vt:lpstr>
      <vt:lpstr>KPI5</vt:lpstr>
      <vt:lpstr>KPI6</vt:lpstr>
      <vt:lpstr>KPI7</vt:lpstr>
      <vt:lpstr>KPI8</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patil</dc:creator>
  <cp:lastModifiedBy>harsh patil</cp:lastModifiedBy>
  <dcterms:created xsi:type="dcterms:W3CDTF">2025-11-04T09:38:35Z</dcterms:created>
  <dcterms:modified xsi:type="dcterms:W3CDTF">2025-11-11T05:46:32Z</dcterms:modified>
</cp:coreProperties>
</file>